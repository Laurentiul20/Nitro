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45" windowWidth="15795" windowHeight="11385" activeTab="3"/>
  </bookViews>
  <sheets>
    <sheet name="functions_nitro_game" sheetId="8" r:id="rId1"/>
    <sheet name="Fitting" sheetId="7" r:id="rId2"/>
    <sheet name="functions_nitro_game_sep" sheetId="9" r:id="rId3"/>
    <sheet name="Past Hypoxic Zones" sheetId="10" r:id="rId4"/>
  </sheets>
  <calcPr calcId="145621"/>
</workbook>
</file>

<file path=xl/calcChain.xml><?xml version="1.0" encoding="utf-8"?>
<calcChain xmlns="http://schemas.openxmlformats.org/spreadsheetml/2006/main">
  <c r="C3" i="10" l="1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" i="10"/>
  <c r="A82" i="9" l="1"/>
  <c r="H82" i="9" s="1"/>
  <c r="A80" i="9"/>
  <c r="C80" i="9" s="1"/>
  <c r="C83" i="9" s="1"/>
  <c r="F82" i="9"/>
  <c r="F80" i="9"/>
  <c r="A75" i="9"/>
  <c r="A73" i="9"/>
  <c r="B73" i="9" s="1"/>
  <c r="F75" i="9"/>
  <c r="F73" i="9"/>
  <c r="A68" i="9"/>
  <c r="H68" i="9" s="1"/>
  <c r="A66" i="9"/>
  <c r="C66" i="9" s="1"/>
  <c r="F68" i="9"/>
  <c r="F66" i="9"/>
  <c r="A61" i="9"/>
  <c r="H61" i="9" s="1"/>
  <c r="A59" i="9"/>
  <c r="B59" i="9" s="1"/>
  <c r="F61" i="9"/>
  <c r="F59" i="9"/>
  <c r="A54" i="9"/>
  <c r="H54" i="9" s="1"/>
  <c r="A52" i="9"/>
  <c r="C52" i="9" s="1"/>
  <c r="F54" i="9"/>
  <c r="F52" i="9"/>
  <c r="F47" i="9"/>
  <c r="A47" i="9"/>
  <c r="C47" i="9" s="1"/>
  <c r="E47" i="9" s="1"/>
  <c r="F45" i="9"/>
  <c r="A45" i="9"/>
  <c r="E66" i="9" l="1"/>
  <c r="G66" i="9" s="1"/>
  <c r="I66" i="9" s="1"/>
  <c r="C69" i="9"/>
  <c r="E52" i="9"/>
  <c r="G52" i="9" s="1"/>
  <c r="I52" i="9" s="1"/>
  <c r="C55" i="9"/>
  <c r="C54" i="9"/>
  <c r="E54" i="9" s="1"/>
  <c r="B66" i="9"/>
  <c r="C75" i="9"/>
  <c r="E75" i="9" s="1"/>
  <c r="G75" i="9" s="1"/>
  <c r="E80" i="9"/>
  <c r="G80" i="9" s="1"/>
  <c r="I80" i="9" s="1"/>
  <c r="G47" i="9"/>
  <c r="G54" i="9"/>
  <c r="I54" i="9" s="1"/>
  <c r="C73" i="9"/>
  <c r="C59" i="9"/>
  <c r="C68" i="9"/>
  <c r="E68" i="9" s="1"/>
  <c r="G68" i="9" s="1"/>
  <c r="I68" i="9" s="1"/>
  <c r="C82" i="9"/>
  <c r="E82" i="9" s="1"/>
  <c r="G82" i="9" s="1"/>
  <c r="I82" i="9" s="1"/>
  <c r="H47" i="9"/>
  <c r="B80" i="9"/>
  <c r="H75" i="9"/>
  <c r="C61" i="9"/>
  <c r="E61" i="9" s="1"/>
  <c r="G61" i="9" s="1"/>
  <c r="I61" i="9" s="1"/>
  <c r="B52" i="9"/>
  <c r="C45" i="9"/>
  <c r="B45" i="9"/>
  <c r="E73" i="9" l="1"/>
  <c r="G73" i="9" s="1"/>
  <c r="I73" i="9" s="1"/>
  <c r="C76" i="9"/>
  <c r="E59" i="9"/>
  <c r="G59" i="9" s="1"/>
  <c r="I59" i="9" s="1"/>
  <c r="C62" i="9"/>
  <c r="E45" i="9"/>
  <c r="G45" i="9" s="1"/>
  <c r="I45" i="9" s="1"/>
  <c r="C48" i="9"/>
  <c r="C84" i="9" s="1"/>
  <c r="I47" i="9"/>
  <c r="I75" i="9"/>
  <c r="K23" i="8" l="1"/>
  <c r="C23" i="8"/>
  <c r="A23" i="8"/>
  <c r="D23" i="8" s="1"/>
  <c r="K21" i="8"/>
  <c r="A21" i="8"/>
  <c r="H21" i="8" s="1"/>
  <c r="D92" i="9"/>
  <c r="C92" i="9"/>
  <c r="B92" i="9"/>
  <c r="K47" i="8"/>
  <c r="L47" i="8" s="1"/>
  <c r="N47" i="8" s="1"/>
  <c r="J47" i="8"/>
  <c r="C47" i="8"/>
  <c r="K46" i="8"/>
  <c r="J46" i="8"/>
  <c r="C46" i="8"/>
  <c r="K45" i="8"/>
  <c r="L45" i="8" s="1"/>
  <c r="N45" i="8" s="1"/>
  <c r="J45" i="8"/>
  <c r="C45" i="8"/>
  <c r="K44" i="8"/>
  <c r="J44" i="8"/>
  <c r="L44" i="8" s="1"/>
  <c r="N44" i="8" s="1"/>
  <c r="C44" i="8"/>
  <c r="K43" i="8"/>
  <c r="J43" i="8"/>
  <c r="L43" i="8" s="1"/>
  <c r="N43" i="8" s="1"/>
  <c r="C43" i="8"/>
  <c r="K42" i="8"/>
  <c r="J42" i="8"/>
  <c r="C42" i="8"/>
  <c r="K41" i="8"/>
  <c r="J41" i="8"/>
  <c r="C41" i="8"/>
  <c r="K40" i="8"/>
  <c r="J40" i="8"/>
  <c r="L40" i="8" s="1"/>
  <c r="N40" i="8" s="1"/>
  <c r="C40" i="8"/>
  <c r="K39" i="8"/>
  <c r="J39" i="8"/>
  <c r="C39" i="8"/>
  <c r="K38" i="8"/>
  <c r="J38" i="8"/>
  <c r="C38" i="8"/>
  <c r="K37" i="8"/>
  <c r="J37" i="8"/>
  <c r="C37" i="8"/>
  <c r="K35" i="8"/>
  <c r="L35" i="8" s="1"/>
  <c r="N35" i="8" s="1"/>
  <c r="J35" i="8"/>
  <c r="K34" i="8"/>
  <c r="L34" i="8" s="1"/>
  <c r="N34" i="8" s="1"/>
  <c r="J34" i="8"/>
  <c r="K33" i="8"/>
  <c r="L33" i="8" s="1"/>
  <c r="N33" i="8" s="1"/>
  <c r="J33" i="8"/>
  <c r="K32" i="8"/>
  <c r="J32" i="8"/>
  <c r="K31" i="8"/>
  <c r="J31" i="8"/>
  <c r="K30" i="8"/>
  <c r="L30" i="8" s="1"/>
  <c r="N30" i="8" s="1"/>
  <c r="J30" i="8"/>
  <c r="K29" i="8"/>
  <c r="L29" i="8" s="1"/>
  <c r="N29" i="8" s="1"/>
  <c r="J29" i="8"/>
  <c r="K28" i="8"/>
  <c r="L28" i="8" s="1"/>
  <c r="N28" i="8" s="1"/>
  <c r="J28" i="8"/>
  <c r="K27" i="8"/>
  <c r="L27" i="8" s="1"/>
  <c r="N27" i="8" s="1"/>
  <c r="J27" i="8"/>
  <c r="K26" i="8"/>
  <c r="L26" i="8" s="1"/>
  <c r="N26" i="8" s="1"/>
  <c r="J26" i="8"/>
  <c r="K25" i="8"/>
  <c r="J25" i="8"/>
  <c r="C25" i="8"/>
  <c r="C29" i="8" s="1"/>
  <c r="E29" i="8" s="1"/>
  <c r="M53" i="7"/>
  <c r="J21" i="8" l="1"/>
  <c r="L37" i="8"/>
  <c r="N37" i="8" s="1"/>
  <c r="L39" i="8"/>
  <c r="N39" i="8" s="1"/>
  <c r="L41" i="8"/>
  <c r="N41" i="8" s="1"/>
  <c r="E22" i="9"/>
  <c r="E19" i="9"/>
  <c r="E17" i="9"/>
  <c r="E24" i="9"/>
  <c r="E34" i="9"/>
  <c r="E32" i="9"/>
  <c r="E12" i="9"/>
  <c r="E27" i="9"/>
  <c r="E7" i="9"/>
  <c r="E14" i="9"/>
  <c r="E29" i="9"/>
  <c r="D87" i="9"/>
  <c r="F87" i="9" s="1"/>
  <c r="E9" i="9"/>
  <c r="D86" i="9"/>
  <c r="L21" i="8"/>
  <c r="N21" i="8" s="1"/>
  <c r="D8" i="8" s="1"/>
  <c r="B21" i="8"/>
  <c r="C21" i="8" s="1"/>
  <c r="H23" i="8"/>
  <c r="H36" i="8" s="1"/>
  <c r="M23" i="8"/>
  <c r="L32" i="8"/>
  <c r="N32" i="8" s="1"/>
  <c r="L31" i="8"/>
  <c r="N31" i="8" s="1"/>
  <c r="L46" i="8"/>
  <c r="N46" i="8" s="1"/>
  <c r="L42" i="8"/>
  <c r="N42" i="8" s="1"/>
  <c r="L38" i="8"/>
  <c r="N38" i="8" s="1"/>
  <c r="D91" i="9"/>
  <c r="F91" i="9" s="1"/>
  <c r="D90" i="9"/>
  <c r="F90" i="9" s="1"/>
  <c r="D89" i="9"/>
  <c r="F89" i="9" s="1"/>
  <c r="D88" i="9"/>
  <c r="F88" i="9" s="1"/>
  <c r="C30" i="8"/>
  <c r="E30" i="8" s="1"/>
  <c r="C31" i="8"/>
  <c r="E31" i="8" s="1"/>
  <c r="C32" i="8"/>
  <c r="E32" i="8" s="1"/>
  <c r="C33" i="8"/>
  <c r="E33" i="8" s="1"/>
  <c r="C26" i="8"/>
  <c r="E26" i="8" s="1"/>
  <c r="C34" i="8"/>
  <c r="E34" i="8" s="1"/>
  <c r="C27" i="8"/>
  <c r="E27" i="8" s="1"/>
  <c r="C35" i="8"/>
  <c r="E35" i="8" s="1"/>
  <c r="C28" i="8"/>
  <c r="E28" i="8" s="1"/>
  <c r="E25" i="8"/>
  <c r="J23" i="8" l="1"/>
  <c r="L23" i="8" s="1"/>
  <c r="N23" i="8" s="1"/>
  <c r="D11" i="8" s="1"/>
  <c r="D13" i="8" s="1"/>
  <c r="D14" i="8" s="1"/>
  <c r="F86" i="9"/>
  <c r="F92" i="9" s="1"/>
  <c r="D94" i="9"/>
  <c r="E39" i="9"/>
  <c r="E21" i="8"/>
  <c r="D16" i="8" s="1"/>
  <c r="E36" i="9"/>
  <c r="E37" i="9" s="1"/>
</calcChain>
</file>

<file path=xl/sharedStrings.xml><?xml version="1.0" encoding="utf-8"?>
<sst xmlns="http://schemas.openxmlformats.org/spreadsheetml/2006/main" count="157" uniqueCount="61">
  <si>
    <t>Action</t>
  </si>
  <si>
    <t>Restore former wetlands</t>
  </si>
  <si>
    <t>Total Nitrate Removed(thousand tonnes)</t>
  </si>
  <si>
    <t>Denitrification</t>
  </si>
  <si>
    <t>Nitrate Fluxto Gulf of Mexico</t>
  </si>
  <si>
    <t>Reduce fertilizer applications</t>
  </si>
  <si>
    <t>Reduction in watershed wide crop yield(%)</t>
  </si>
  <si>
    <t>Cost of lost crops per dollar per bushel($billion)</t>
  </si>
  <si>
    <t>Total cost of lost crops($billion)</t>
  </si>
  <si>
    <t>Other costs</t>
  </si>
  <si>
    <t>Total Costs($billion)</t>
  </si>
  <si>
    <t>Wetland Restoration($2400/ha) 60M ha of wetlands possible</t>
  </si>
  <si>
    <t>Crop Price (3-8)$20/dollar</t>
  </si>
  <si>
    <t>Nitrate flux to the watershed(thousand tonnes) (wet year add 500, dry year subtract 500)</t>
  </si>
  <si>
    <t>Reduce fertilizer application by</t>
  </si>
  <si>
    <t xml:space="preserve">Restore former wetlands by </t>
  </si>
  <si>
    <t>year</t>
  </si>
  <si>
    <t>Maximum yield</t>
  </si>
  <si>
    <t>Cost fertilizer reduction:</t>
  </si>
  <si>
    <t>Cost restoration wetlands:</t>
  </si>
  <si>
    <t>Area of hypoxia:</t>
  </si>
  <si>
    <t>Total cost:</t>
  </si>
  <si>
    <t>Initial nitrate flux:</t>
  </si>
  <si>
    <t xml:space="preserve"> </t>
  </si>
  <si>
    <t>Billion dollars</t>
  </si>
  <si>
    <t>Thousand tonnes</t>
  </si>
  <si>
    <t>Crop price index:</t>
  </si>
  <si>
    <t>km^2</t>
  </si>
  <si>
    <t>Actions</t>
  </si>
  <si>
    <t>crop price</t>
  </si>
  <si>
    <t>Lower Mississippi</t>
  </si>
  <si>
    <t>Arkansas-White-Red</t>
  </si>
  <si>
    <t>Ohio</t>
  </si>
  <si>
    <t>Upper Mississippi</t>
  </si>
  <si>
    <t>Missouri</t>
  </si>
  <si>
    <t>Tennessee</t>
  </si>
  <si>
    <t>Hydrologic unit</t>
  </si>
  <si>
    <t>Area (in 1000 km^2)</t>
  </si>
  <si>
    <t>Cropland area (in 1000 km^2)</t>
  </si>
  <si>
    <t>Nitrate supply in a year (in 1000 tonnes)</t>
  </si>
  <si>
    <t>Gulf delivery index</t>
  </si>
  <si>
    <t>Nitrate delivery to Gulf (after fertilizer red. and restoration wetl.)</t>
  </si>
  <si>
    <t>Uper Mississippi</t>
  </si>
  <si>
    <t>Sum:</t>
  </si>
  <si>
    <t>(delivery index = 2)</t>
  </si>
  <si>
    <t>(delivery index = 1)</t>
  </si>
  <si>
    <t>(%)</t>
  </si>
  <si>
    <t>http://office.microsoft.com/en-us/excel-help/modeling-exponential-growth-HA001111888.aspx</t>
  </si>
  <si>
    <t>WETLANDS</t>
  </si>
  <si>
    <t>TOTAL NITRATE REMOVED</t>
  </si>
  <si>
    <t>DENITRIFICATION (WETLANDS)</t>
  </si>
  <si>
    <t>Other costs wetlands</t>
  </si>
  <si>
    <t>original</t>
  </si>
  <si>
    <t>(delivery index = 3)</t>
  </si>
  <si>
    <t>(delivery index = 0.45)</t>
  </si>
  <si>
    <t>FERTILIZER reduction</t>
  </si>
  <si>
    <t>reduction crop yield</t>
  </si>
  <si>
    <t>total crop reduction</t>
  </si>
  <si>
    <t>Weighted average</t>
  </si>
  <si>
    <t>square miles</t>
  </si>
  <si>
    <t>square kilometers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</si>
</sst>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3" borderId="0" applyNumberFormat="0" applyBorder="0" applyAlignment="0" applyProtection="0"/>
  </cellStyleXfs>
  <cellXfs count="2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0" xfId="0" applyFill="1"/>
    <xf numFmtId="0" fontId="2" fillId="3" borderId="0" xfId="1"/>
    <xf numFmtId="0" fontId="0" fillId="0" borderId="0" xfId="0" applyFont="1"/>
    <xf numFmtId="0" fontId="1" fillId="4" borderId="0" xfId="0" applyFont="1" applyFill="1"/>
    <xf numFmtId="0" fontId="0" fillId="4" borderId="0" xfId="0" applyFill="1"/>
    <xf numFmtId="0" fontId="4" fillId="0" borderId="0" xfId="0" applyFont="1"/>
    <xf numFmtId="0" fontId="3" fillId="0" borderId="0" xfId="0" applyFont="1"/>
    <xf numFmtId="0" fontId="5" fillId="0" borderId="0" xfId="0" applyFont="1" applyAlignment="1">
      <alignment horizontal="center"/>
    </xf>
    <xf numFmtId="0" fontId="0" fillId="0" borderId="0" xfId="0" applyAlignment="1">
      <alignment wrapText="1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1" fillId="0" borderId="0" xfId="0" applyFont="1" applyAlignment="1">
      <alignment wrapText="1"/>
    </xf>
    <xf numFmtId="0" fontId="3" fillId="4" borderId="0" xfId="0" applyFont="1" applyFill="1"/>
    <xf numFmtId="0" fontId="3" fillId="4" borderId="0" xfId="0" applyFont="1" applyFill="1" applyAlignment="1">
      <alignment wrapText="1"/>
    </xf>
    <xf numFmtId="0" fontId="0" fillId="5" borderId="0" xfId="0" applyFill="1"/>
  </cellXfs>
  <cellStyles count="2">
    <cellStyle name="Good" xfId="1" builtinId="26"/>
    <cellStyle name="Normal" xfId="0" builtinId="0"/>
  </cellStyles>
  <dxfs count="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Fertilizer reduction</c:v>
          </c:tx>
          <c:spPr>
            <a:ln w="28575">
              <a:noFill/>
            </a:ln>
          </c:spPr>
          <c:trendline>
            <c:trendlineType val="poly"/>
            <c:order val="2"/>
            <c:dispRSqr val="1"/>
            <c:dispEq val="1"/>
            <c:trendlineLbl>
              <c:layout>
                <c:manualLayout>
                  <c:x val="0.4615594925634296"/>
                  <c:y val="-2.8136847477398697E-2"/>
                </c:manualLayout>
              </c:layout>
              <c:numFmt formatCode="General" sourceLinked="0"/>
            </c:trendlineLbl>
          </c:trendline>
          <c:xVal>
            <c:numRef>
              <c:f>Fitting!$A$3:$A$13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Fitting!$B$3:$B$13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7</c:v>
                </c:pt>
                <c:pt idx="4">
                  <c:v>12</c:v>
                </c:pt>
                <c:pt idx="5">
                  <c:v>18</c:v>
                </c:pt>
                <c:pt idx="6">
                  <c:v>25</c:v>
                </c:pt>
                <c:pt idx="7">
                  <c:v>34</c:v>
                </c:pt>
                <c:pt idx="8">
                  <c:v>45</c:v>
                </c:pt>
                <c:pt idx="9">
                  <c:v>57</c:v>
                </c:pt>
                <c:pt idx="10">
                  <c:v>70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470080"/>
        <c:axId val="87471616"/>
      </c:scatterChart>
      <c:valAx>
        <c:axId val="87470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7471616"/>
        <c:crosses val="autoZero"/>
        <c:crossBetween val="midCat"/>
      </c:valAx>
      <c:valAx>
        <c:axId val="87471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747008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Fertilizer reduction</c:v>
          </c:tx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0.37812882764654504"/>
                  <c:y val="-9.6183289588801339E-3"/>
                </c:manualLayout>
              </c:layout>
              <c:numFmt formatCode="General" sourceLinked="0"/>
            </c:trendlineLbl>
          </c:trendline>
          <c:xVal>
            <c:numRef>
              <c:f>Fitting!$A$4:$A$13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</c:numCache>
            </c:numRef>
          </c:xVal>
          <c:yVal>
            <c:numRef>
              <c:f>Fitting!$B$4:$B$13</c:f>
              <c:numCache>
                <c:formatCode>General</c:formatCode>
                <c:ptCount val="10"/>
                <c:pt idx="0">
                  <c:v>1</c:v>
                </c:pt>
                <c:pt idx="1">
                  <c:v>3</c:v>
                </c:pt>
                <c:pt idx="2">
                  <c:v>7</c:v>
                </c:pt>
                <c:pt idx="3">
                  <c:v>12</c:v>
                </c:pt>
                <c:pt idx="4">
                  <c:v>18</c:v>
                </c:pt>
                <c:pt idx="5">
                  <c:v>25</c:v>
                </c:pt>
                <c:pt idx="6">
                  <c:v>34</c:v>
                </c:pt>
                <c:pt idx="7">
                  <c:v>45</c:v>
                </c:pt>
                <c:pt idx="8">
                  <c:v>57</c:v>
                </c:pt>
                <c:pt idx="9">
                  <c:v>70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488768"/>
        <c:axId val="87633920"/>
      </c:scatterChart>
      <c:valAx>
        <c:axId val="87488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7633920"/>
        <c:crosses val="autoZero"/>
        <c:crossBetween val="midCat"/>
      </c:valAx>
      <c:valAx>
        <c:axId val="87633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74887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Wetland restoration</c:v>
          </c:tx>
          <c:spPr>
            <a:ln w="28575">
              <a:noFill/>
            </a:ln>
          </c:spPr>
          <c:trendline>
            <c:trendlineType val="poly"/>
            <c:order val="2"/>
            <c:dispRSqr val="1"/>
            <c:dispEq val="1"/>
            <c:trendlineLbl>
              <c:layout>
                <c:manualLayout>
                  <c:x val="0.47306867891513582"/>
                  <c:y val="-2.1326917468649821E-2"/>
                </c:manualLayout>
              </c:layout>
              <c:numFmt formatCode="General" sourceLinked="0"/>
            </c:trendlineLbl>
          </c:trendline>
          <c:xVal>
            <c:numRef>
              <c:f>Fitting!$A$21:$A$31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Fitting!$B$21:$B$31</c:f>
              <c:numCache>
                <c:formatCode>General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2</c:v>
                </c:pt>
                <c:pt idx="4">
                  <c:v>4</c:v>
                </c:pt>
                <c:pt idx="5">
                  <c:v>6</c:v>
                </c:pt>
                <c:pt idx="6">
                  <c:v>7</c:v>
                </c:pt>
                <c:pt idx="7">
                  <c:v>10</c:v>
                </c:pt>
                <c:pt idx="8">
                  <c:v>14</c:v>
                </c:pt>
                <c:pt idx="9">
                  <c:v>17</c:v>
                </c:pt>
                <c:pt idx="10">
                  <c:v>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667456"/>
        <c:axId val="87668992"/>
      </c:scatterChart>
      <c:valAx>
        <c:axId val="87667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7668992"/>
        <c:crosses val="autoZero"/>
        <c:crossBetween val="midCat"/>
      </c:valAx>
      <c:valAx>
        <c:axId val="876689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76674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Wetland restoration</c:v>
          </c:tx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0.37853608923884613"/>
                  <c:y val="-9.6183289588801339E-3"/>
                </c:manualLayout>
              </c:layout>
              <c:numFmt formatCode="General" sourceLinked="0"/>
            </c:trendlineLbl>
          </c:trendline>
          <c:xVal>
            <c:numRef>
              <c:f>Fitting!$A$22:$A$31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</c:numCache>
            </c:numRef>
          </c:xVal>
          <c:yVal>
            <c:numRef>
              <c:f>Fitting!$B$22:$B$31</c:f>
              <c:numCache>
                <c:formatCode>General</c:formatCode>
                <c:ptCount val="10"/>
                <c:pt idx="0">
                  <c:v>0.5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10</c:v>
                </c:pt>
                <c:pt idx="7">
                  <c:v>14</c:v>
                </c:pt>
                <c:pt idx="8">
                  <c:v>17</c:v>
                </c:pt>
                <c:pt idx="9">
                  <c:v>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030208"/>
        <c:axId val="88032000"/>
      </c:scatterChart>
      <c:valAx>
        <c:axId val="88030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8032000"/>
        <c:crosses val="autoZero"/>
        <c:crossBetween val="midCat"/>
      </c:valAx>
      <c:valAx>
        <c:axId val="88032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80302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poly"/>
            <c:order val="2"/>
            <c:dispRSqr val="1"/>
            <c:dispEq val="1"/>
            <c:trendlineLbl>
              <c:layout>
                <c:manualLayout>
                  <c:x val="0.42444181977252848"/>
                  <c:y val="-4.7462817147856697E-4"/>
                </c:manualLayout>
              </c:layout>
              <c:numFmt formatCode="General" sourceLinked="0"/>
            </c:trendlineLbl>
          </c:trendline>
          <c:xVal>
            <c:numRef>
              <c:f>Fitting!$A$38:$A$48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Fitting!$B$38:$B$48</c:f>
              <c:numCache>
                <c:formatCode>General</c:formatCode>
                <c:ptCount val="11"/>
                <c:pt idx="0">
                  <c:v>0</c:v>
                </c:pt>
                <c:pt idx="1">
                  <c:v>200</c:v>
                </c:pt>
                <c:pt idx="2">
                  <c:v>350</c:v>
                </c:pt>
                <c:pt idx="3">
                  <c:v>450</c:v>
                </c:pt>
                <c:pt idx="4">
                  <c:v>530</c:v>
                </c:pt>
                <c:pt idx="5">
                  <c:v>590</c:v>
                </c:pt>
                <c:pt idx="6">
                  <c:v>640</c:v>
                </c:pt>
                <c:pt idx="7">
                  <c:v>680</c:v>
                </c:pt>
                <c:pt idx="8">
                  <c:v>710</c:v>
                </c:pt>
                <c:pt idx="9">
                  <c:v>730</c:v>
                </c:pt>
                <c:pt idx="10">
                  <c:v>750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067456"/>
        <c:axId val="88069248"/>
      </c:scatterChart>
      <c:valAx>
        <c:axId val="88067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8069248"/>
        <c:crosses val="autoZero"/>
        <c:crossBetween val="midCat"/>
      </c:valAx>
      <c:valAx>
        <c:axId val="88069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80674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og"/>
            <c:dispRSqr val="1"/>
            <c:dispEq val="1"/>
            <c:trendlineLbl>
              <c:layout>
                <c:manualLayout>
                  <c:x val="0.41603215223097112"/>
                  <c:y val="-4.7462817147856697E-4"/>
                </c:manualLayout>
              </c:layout>
              <c:numFmt formatCode="General" sourceLinked="0"/>
            </c:trendlineLbl>
          </c:trendline>
          <c:xVal>
            <c:numRef>
              <c:f>Fitting!$A$39:$A$48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</c:numCache>
            </c:numRef>
          </c:xVal>
          <c:yVal>
            <c:numRef>
              <c:f>Fitting!$B$39:$B$48</c:f>
              <c:numCache>
                <c:formatCode>General</c:formatCode>
                <c:ptCount val="10"/>
                <c:pt idx="0">
                  <c:v>200</c:v>
                </c:pt>
                <c:pt idx="1">
                  <c:v>350</c:v>
                </c:pt>
                <c:pt idx="2">
                  <c:v>450</c:v>
                </c:pt>
                <c:pt idx="3">
                  <c:v>530</c:v>
                </c:pt>
                <c:pt idx="4">
                  <c:v>590</c:v>
                </c:pt>
                <c:pt idx="5">
                  <c:v>640</c:v>
                </c:pt>
                <c:pt idx="6">
                  <c:v>680</c:v>
                </c:pt>
                <c:pt idx="7">
                  <c:v>710</c:v>
                </c:pt>
                <c:pt idx="8">
                  <c:v>730</c:v>
                </c:pt>
                <c:pt idx="9">
                  <c:v>750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094208"/>
        <c:axId val="88095744"/>
      </c:scatterChart>
      <c:valAx>
        <c:axId val="88094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8095744"/>
        <c:crosses val="autoZero"/>
        <c:crossBetween val="midCat"/>
      </c:valAx>
      <c:valAx>
        <c:axId val="88095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80942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poly"/>
            <c:order val="2"/>
            <c:dispRSqr val="1"/>
            <c:dispEq val="1"/>
            <c:trendlineLbl>
              <c:layout>
                <c:manualLayout>
                  <c:x val="0.42209448818897638"/>
                  <c:y val="4.5821668124817728E-2"/>
                </c:manualLayout>
              </c:layout>
              <c:numFmt formatCode="General" sourceLinked="0"/>
            </c:trendlineLbl>
          </c:trendline>
          <c:xVal>
            <c:numRef>
              <c:f>Fitting!$A$55:$A$65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Fitting!$B$55:$B$65</c:f>
              <c:numCache>
                <c:formatCode>General</c:formatCode>
                <c:ptCount val="11"/>
                <c:pt idx="0">
                  <c:v>680</c:v>
                </c:pt>
                <c:pt idx="1">
                  <c:v>760</c:v>
                </c:pt>
                <c:pt idx="2">
                  <c:v>830</c:v>
                </c:pt>
                <c:pt idx="3">
                  <c:v>890</c:v>
                </c:pt>
                <c:pt idx="4">
                  <c:v>940</c:v>
                </c:pt>
                <c:pt idx="5">
                  <c:v>980</c:v>
                </c:pt>
                <c:pt idx="6">
                  <c:v>1010</c:v>
                </c:pt>
                <c:pt idx="7">
                  <c:v>1030</c:v>
                </c:pt>
                <c:pt idx="8">
                  <c:v>1050</c:v>
                </c:pt>
                <c:pt idx="9">
                  <c:v>1070</c:v>
                </c:pt>
                <c:pt idx="10">
                  <c:v>1090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128896"/>
        <c:axId val="88134784"/>
      </c:scatterChart>
      <c:valAx>
        <c:axId val="88128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8134784"/>
        <c:crosses val="autoZero"/>
        <c:crossBetween val="midCat"/>
      </c:valAx>
      <c:valAx>
        <c:axId val="88134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81288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24669181977252844"/>
                  <c:y val="-1.0956911636045497E-2"/>
                </c:manualLayout>
              </c:layout>
              <c:numFmt formatCode="General" sourceLinked="0"/>
            </c:trendlineLbl>
          </c:trendline>
          <c:xVal>
            <c:numRef>
              <c:f>Fitting!$A$73:$A$83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Fitting!$B$73:$B$83</c:f>
              <c:numCache>
                <c:formatCode>General</c:formatCode>
                <c:ptCount val="1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141184"/>
        <c:axId val="87835776"/>
      </c:scatterChart>
      <c:valAx>
        <c:axId val="88141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7835776"/>
        <c:crosses val="autoZero"/>
        <c:crossBetween val="midCat"/>
      </c:valAx>
      <c:valAx>
        <c:axId val="87835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81411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1962150</xdr:colOff>
          <xdr:row>1</xdr:row>
          <xdr:rowOff>47625</xdr:rowOff>
        </xdr:to>
        <xdr:sp macro="" textlink="">
          <xdr:nvSpPr>
            <xdr:cNvPr id="4097" name="cmbrain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0</xdr:rowOff>
        </xdr:from>
        <xdr:to>
          <xdr:col>0</xdr:col>
          <xdr:colOff>1914525</xdr:colOff>
          <xdr:row>4</xdr:row>
          <xdr:rowOff>38100</xdr:rowOff>
        </xdr:to>
        <xdr:sp macro="" textlink="">
          <xdr:nvSpPr>
            <xdr:cNvPr id="4098" name="cmbcropindex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10</xdr:col>
      <xdr:colOff>295275</xdr:colOff>
      <xdr:row>16</xdr:row>
      <xdr:rowOff>57150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9525</xdr:colOff>
      <xdr:row>1</xdr:row>
      <xdr:rowOff>171450</xdr:rowOff>
    </xdr:from>
    <xdr:to>
      <xdr:col>18</xdr:col>
      <xdr:colOff>314325</xdr:colOff>
      <xdr:row>16</xdr:row>
      <xdr:rowOff>57150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600075</xdr:colOff>
      <xdr:row>19</xdr:row>
      <xdr:rowOff>9525</xdr:rowOff>
    </xdr:from>
    <xdr:to>
      <xdr:col>10</xdr:col>
      <xdr:colOff>295275</xdr:colOff>
      <xdr:row>33</xdr:row>
      <xdr:rowOff>85725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600075</xdr:colOff>
      <xdr:row>19</xdr:row>
      <xdr:rowOff>0</xdr:rowOff>
    </xdr:from>
    <xdr:to>
      <xdr:col>18</xdr:col>
      <xdr:colOff>295275</xdr:colOff>
      <xdr:row>33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600075</xdr:colOff>
      <xdr:row>36</xdr:row>
      <xdr:rowOff>28575</xdr:rowOff>
    </xdr:from>
    <xdr:to>
      <xdr:col>10</xdr:col>
      <xdr:colOff>295275</xdr:colOff>
      <xdr:row>50</xdr:row>
      <xdr:rowOff>104775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36</xdr:row>
      <xdr:rowOff>66675</xdr:rowOff>
    </xdr:from>
    <xdr:to>
      <xdr:col>18</xdr:col>
      <xdr:colOff>304800</xdr:colOff>
      <xdr:row>50</xdr:row>
      <xdr:rowOff>142875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600075</xdr:colOff>
      <xdr:row>54</xdr:row>
      <xdr:rowOff>0</xdr:rowOff>
    </xdr:from>
    <xdr:to>
      <xdr:col>10</xdr:col>
      <xdr:colOff>295275</xdr:colOff>
      <xdr:row>68</xdr:row>
      <xdr:rowOff>76200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0</xdr:colOff>
      <xdr:row>71</xdr:row>
      <xdr:rowOff>0</xdr:rowOff>
    </xdr:from>
    <xdr:to>
      <xdr:col>10</xdr:col>
      <xdr:colOff>304800</xdr:colOff>
      <xdr:row>85</xdr:row>
      <xdr:rowOff>76200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1962150</xdr:colOff>
          <xdr:row>1</xdr:row>
          <xdr:rowOff>47625</xdr:rowOff>
        </xdr:to>
        <xdr:sp macro="" textlink="">
          <xdr:nvSpPr>
            <xdr:cNvPr id="7169" name="cmbrain_sep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161925</xdr:rowOff>
        </xdr:from>
        <xdr:to>
          <xdr:col>0</xdr:col>
          <xdr:colOff>1914525</xdr:colOff>
          <xdr:row>4</xdr:row>
          <xdr:rowOff>9525</xdr:rowOff>
        </xdr:to>
        <xdr:sp macro="" textlink="">
          <xdr:nvSpPr>
            <xdr:cNvPr id="7170" name="cmbprice_sep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57"/>
  <sheetViews>
    <sheetView topLeftCell="B1" zoomScaleNormal="100" workbookViewId="0">
      <selection activeCell="H36" sqref="H36"/>
    </sheetView>
  </sheetViews>
  <sheetFormatPr defaultRowHeight="15" x14ac:dyDescent="0.25"/>
  <cols>
    <col min="1" max="1" width="30.85546875" customWidth="1"/>
    <col min="2" max="2" width="38.28515625" bestFit="1" customWidth="1"/>
    <col min="3" max="3" width="31.5703125" customWidth="1"/>
    <col min="4" max="4" width="36.85546875" bestFit="1" customWidth="1"/>
    <col min="5" max="5" width="18.7109375" customWidth="1"/>
    <col min="6" max="6" width="5" customWidth="1"/>
    <col min="7" max="7" width="4.42578125" customWidth="1"/>
    <col min="8" max="8" width="25.28515625" customWidth="1"/>
    <col min="9" max="9" width="14.85546875" bestFit="1" customWidth="1"/>
    <col min="10" max="10" width="29.42578125" customWidth="1"/>
    <col min="11" max="11" width="24" bestFit="1" customWidth="1"/>
    <col min="12" max="12" width="19.28515625" customWidth="1"/>
    <col min="13" max="13" width="21.7109375" customWidth="1"/>
    <col min="14" max="14" width="15.28515625" customWidth="1"/>
    <col min="15" max="15" width="55.28515625" bestFit="1" customWidth="1"/>
    <col min="17" max="17" width="13.42578125" bestFit="1" customWidth="1"/>
  </cols>
  <sheetData>
    <row r="1" spans="1:7" x14ac:dyDescent="0.25">
      <c r="A1" s="5"/>
      <c r="B1" t="s">
        <v>16</v>
      </c>
      <c r="C1" s="3" t="s">
        <v>22</v>
      </c>
      <c r="D1" s="1">
        <v>2180</v>
      </c>
      <c r="E1" t="s">
        <v>25</v>
      </c>
    </row>
    <row r="2" spans="1:7" x14ac:dyDescent="0.25">
      <c r="A2" s="5"/>
      <c r="D2" s="1"/>
    </row>
    <row r="3" spans="1:7" x14ac:dyDescent="0.25">
      <c r="A3" s="5"/>
      <c r="B3" s="1"/>
      <c r="D3" s="1"/>
    </row>
    <row r="4" spans="1:7" x14ac:dyDescent="0.25">
      <c r="A4" s="6"/>
      <c r="B4" t="s">
        <v>29</v>
      </c>
      <c r="C4" s="3" t="s">
        <v>26</v>
      </c>
      <c r="D4" s="1">
        <v>3</v>
      </c>
    </row>
    <row r="5" spans="1:7" x14ac:dyDescent="0.25">
      <c r="D5" s="1"/>
    </row>
    <row r="6" spans="1:7" x14ac:dyDescent="0.25">
      <c r="A6" s="10" t="s">
        <v>28</v>
      </c>
      <c r="D6" s="1"/>
    </row>
    <row r="7" spans="1:7" x14ac:dyDescent="0.25">
      <c r="D7" s="1"/>
    </row>
    <row r="8" spans="1:7" x14ac:dyDescent="0.25">
      <c r="A8" s="2" t="s">
        <v>14</v>
      </c>
      <c r="B8" s="5">
        <v>0</v>
      </c>
      <c r="C8" s="3" t="s">
        <v>18</v>
      </c>
      <c r="D8" s="1">
        <f>N21</f>
        <v>0</v>
      </c>
      <c r="E8" t="s">
        <v>24</v>
      </c>
    </row>
    <row r="9" spans="1:7" x14ac:dyDescent="0.25">
      <c r="A9" t="s">
        <v>46</v>
      </c>
      <c r="D9" s="1"/>
    </row>
    <row r="10" spans="1:7" x14ac:dyDescent="0.25">
      <c r="D10" s="1"/>
    </row>
    <row r="11" spans="1:7" x14ac:dyDescent="0.25">
      <c r="A11" s="2" t="s">
        <v>15</v>
      </c>
      <c r="B11" s="5">
        <v>0</v>
      </c>
      <c r="C11" s="3" t="s">
        <v>19</v>
      </c>
      <c r="D11" s="1">
        <f>N23</f>
        <v>0</v>
      </c>
      <c r="E11" t="s">
        <v>24</v>
      </c>
    </row>
    <row r="12" spans="1:7" x14ac:dyDescent="0.25">
      <c r="A12" t="s">
        <v>46</v>
      </c>
      <c r="B12" s="12"/>
      <c r="D12" s="1"/>
    </row>
    <row r="13" spans="1:7" x14ac:dyDescent="0.25">
      <c r="C13" s="4" t="s">
        <v>21</v>
      </c>
      <c r="D13" s="1">
        <f>D8+D11</f>
        <v>0</v>
      </c>
      <c r="E13" t="s">
        <v>24</v>
      </c>
    </row>
    <row r="14" spans="1:7" x14ac:dyDescent="0.25">
      <c r="C14" s="13"/>
      <c r="D14" s="14" t="str">
        <f>IF(D13&gt;10, "Your cost is higher than 10 billion dollars!","")</f>
        <v/>
      </c>
    </row>
    <row r="15" spans="1:7" x14ac:dyDescent="0.25">
      <c r="D15" s="1"/>
    </row>
    <row r="16" spans="1:7" x14ac:dyDescent="0.25">
      <c r="C16" s="4" t="s">
        <v>20</v>
      </c>
      <c r="D16" s="1">
        <f>IF((E21-A23*E21)*20-5000&lt;=0,0,(E21-A23*E21)*20-5000)</f>
        <v>24853.199999999997</v>
      </c>
      <c r="E16" t="s">
        <v>27</v>
      </c>
      <c r="G16" t="s">
        <v>23</v>
      </c>
    </row>
    <row r="17" spans="1:17" x14ac:dyDescent="0.25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</row>
    <row r="18" spans="1:17" ht="30" customHeight="1" x14ac:dyDescent="0.25">
      <c r="A18" s="15" t="s">
        <v>0</v>
      </c>
      <c r="B18" s="15" t="s">
        <v>2</v>
      </c>
      <c r="C18" s="15" t="s">
        <v>13</v>
      </c>
      <c r="D18" s="15" t="s">
        <v>3</v>
      </c>
      <c r="E18" s="15" t="s">
        <v>4</v>
      </c>
      <c r="F18" s="20"/>
      <c r="G18" s="20"/>
      <c r="H18" s="15" t="s">
        <v>6</v>
      </c>
      <c r="I18" s="15" t="s">
        <v>17</v>
      </c>
      <c r="J18" s="15" t="s">
        <v>7</v>
      </c>
      <c r="K18" s="15" t="s">
        <v>12</v>
      </c>
      <c r="L18" s="15" t="s">
        <v>8</v>
      </c>
      <c r="M18" s="15" t="s">
        <v>9</v>
      </c>
      <c r="N18" s="15" t="s">
        <v>10</v>
      </c>
    </row>
    <row r="19" spans="1:17" x14ac:dyDescent="0.25">
      <c r="A19" t="s">
        <v>5</v>
      </c>
      <c r="F19" s="19"/>
      <c r="G19" s="19"/>
    </row>
    <row r="20" spans="1:17" x14ac:dyDescent="0.25">
      <c r="F20" s="19"/>
      <c r="G20" s="19"/>
    </row>
    <row r="21" spans="1:17" x14ac:dyDescent="0.25">
      <c r="A21">
        <f>B8/100</f>
        <v>0</v>
      </c>
      <c r="B21">
        <f>IF(A21=0,0,-867.13*A21^2+1550.8*A21+39.93)</f>
        <v>0</v>
      </c>
      <c r="C21">
        <f>D1-B21</f>
        <v>2180</v>
      </c>
      <c r="E21">
        <f>IF(C21-D23&lt;0,0,C21-D23)</f>
        <v>1492.6599999999999</v>
      </c>
      <c r="F21" s="19"/>
      <c r="G21" s="19"/>
      <c r="H21">
        <f>IF(A21=0,0,68.881*(A21)^2+0.8462*(A21)+0.1958)</f>
        <v>0</v>
      </c>
      <c r="I21">
        <v>20</v>
      </c>
      <c r="J21">
        <f t="shared" ref="J21" si="0">(H21/100)*I21</f>
        <v>0</v>
      </c>
      <c r="K21">
        <f>D4</f>
        <v>3</v>
      </c>
      <c r="L21">
        <f>J21*K21</f>
        <v>0</v>
      </c>
      <c r="M21">
        <v>0</v>
      </c>
      <c r="N21">
        <f>L21+M21</f>
        <v>0</v>
      </c>
    </row>
    <row r="22" spans="1:17" x14ac:dyDescent="0.25">
      <c r="A22" t="s">
        <v>1</v>
      </c>
      <c r="F22" s="19"/>
      <c r="G22" s="19"/>
    </row>
    <row r="23" spans="1:17" x14ac:dyDescent="0.25">
      <c r="A23">
        <f>B11/100</f>
        <v>0</v>
      </c>
      <c r="C23">
        <f>D1</f>
        <v>2180</v>
      </c>
      <c r="D23">
        <f>-375.29*(A23)^2+766.2*A23+687.34</f>
        <v>687.34</v>
      </c>
      <c r="F23" s="19"/>
      <c r="G23" s="19"/>
      <c r="H23">
        <f>IF(A23=0,0,18.531*(A23)^2+1.8322*(A23)+0.007)</f>
        <v>0</v>
      </c>
      <c r="J23">
        <f t="shared" ref="J23" si="1">H23/5</f>
        <v>0</v>
      </c>
      <c r="K23">
        <f>D4</f>
        <v>3</v>
      </c>
      <c r="L23">
        <f>J23*K23</f>
        <v>0</v>
      </c>
      <c r="M23">
        <f>20*A23</f>
        <v>0</v>
      </c>
      <c r="N23">
        <f>L23+M23</f>
        <v>0</v>
      </c>
    </row>
    <row r="24" spans="1:17" x14ac:dyDescent="0.25">
      <c r="F24" s="19"/>
      <c r="G24" s="19"/>
    </row>
    <row r="25" spans="1:17" x14ac:dyDescent="0.25">
      <c r="A25">
        <v>0</v>
      </c>
      <c r="B25" s="7">
        <v>0</v>
      </c>
      <c r="C25">
        <f>D1</f>
        <v>2180</v>
      </c>
      <c r="D25">
        <v>680</v>
      </c>
      <c r="E25">
        <f>C25-D25</f>
        <v>1500</v>
      </c>
      <c r="F25" s="19"/>
      <c r="G25" s="19"/>
      <c r="H25">
        <v>0</v>
      </c>
      <c r="I25">
        <v>20</v>
      </c>
      <c r="J25">
        <f>(H25/100)*I25</f>
        <v>0</v>
      </c>
      <c r="K25">
        <f>D4</f>
        <v>3</v>
      </c>
      <c r="L25">
        <v>0</v>
      </c>
      <c r="M25">
        <v>0</v>
      </c>
      <c r="N25">
        <v>0</v>
      </c>
    </row>
    <row r="26" spans="1:17" x14ac:dyDescent="0.25">
      <c r="A26">
        <v>0.1</v>
      </c>
      <c r="B26" s="7">
        <v>200</v>
      </c>
      <c r="C26">
        <f>$C$25-B26</f>
        <v>1980</v>
      </c>
      <c r="D26">
        <v>680</v>
      </c>
      <c r="E26">
        <f>C26-D26</f>
        <v>1300</v>
      </c>
      <c r="F26" s="19"/>
      <c r="G26" s="19"/>
      <c r="H26">
        <v>1</v>
      </c>
      <c r="I26">
        <v>20</v>
      </c>
      <c r="J26">
        <f t="shared" ref="J26:J35" si="2">(H26/100)*I26</f>
        <v>0.2</v>
      </c>
      <c r="K26">
        <f>D4</f>
        <v>3</v>
      </c>
      <c r="L26">
        <f>J26*K26</f>
        <v>0.60000000000000009</v>
      </c>
      <c r="M26">
        <v>0</v>
      </c>
      <c r="N26">
        <f t="shared" ref="N26:N47" si="3">L26+M26</f>
        <v>0.60000000000000009</v>
      </c>
    </row>
    <row r="27" spans="1:17" x14ac:dyDescent="0.25">
      <c r="A27">
        <v>0.2</v>
      </c>
      <c r="B27" s="7">
        <v>350</v>
      </c>
      <c r="C27">
        <f t="shared" ref="C27:C35" si="4">$C$25-B27</f>
        <v>1830</v>
      </c>
      <c r="D27">
        <v>680</v>
      </c>
      <c r="E27">
        <f>C27-D27</f>
        <v>1150</v>
      </c>
      <c r="F27" s="19"/>
      <c r="G27" s="19"/>
      <c r="H27">
        <v>3</v>
      </c>
      <c r="I27">
        <v>20</v>
      </c>
      <c r="J27">
        <f t="shared" si="2"/>
        <v>0.6</v>
      </c>
      <c r="K27">
        <f>D4</f>
        <v>3</v>
      </c>
      <c r="L27">
        <f>J27*K27</f>
        <v>1.7999999999999998</v>
      </c>
      <c r="M27">
        <v>0</v>
      </c>
      <c r="N27">
        <f t="shared" si="3"/>
        <v>1.7999999999999998</v>
      </c>
    </row>
    <row r="28" spans="1:17" x14ac:dyDescent="0.25">
      <c r="A28">
        <v>0.3</v>
      </c>
      <c r="B28" s="7">
        <v>450</v>
      </c>
      <c r="C28">
        <f t="shared" si="4"/>
        <v>1730</v>
      </c>
      <c r="D28">
        <v>680</v>
      </c>
      <c r="E28">
        <f t="shared" ref="E28:E35" si="5">C28-D28</f>
        <v>1050</v>
      </c>
      <c r="F28" s="19"/>
      <c r="G28" s="19"/>
      <c r="H28">
        <v>7</v>
      </c>
      <c r="I28">
        <v>20</v>
      </c>
      <c r="J28">
        <f t="shared" si="2"/>
        <v>1.4000000000000001</v>
      </c>
      <c r="K28">
        <f>D4</f>
        <v>3</v>
      </c>
      <c r="L28">
        <f t="shared" ref="L28:L47" si="6">J28*K28</f>
        <v>4.2</v>
      </c>
      <c r="M28">
        <v>0</v>
      </c>
      <c r="N28">
        <f t="shared" si="3"/>
        <v>4.2</v>
      </c>
    </row>
    <row r="29" spans="1:17" x14ac:dyDescent="0.25">
      <c r="A29">
        <v>0.4</v>
      </c>
      <c r="B29" s="7">
        <v>530</v>
      </c>
      <c r="C29">
        <f t="shared" si="4"/>
        <v>1650</v>
      </c>
      <c r="D29">
        <v>680</v>
      </c>
      <c r="E29">
        <f t="shared" si="5"/>
        <v>970</v>
      </c>
      <c r="F29" s="19"/>
      <c r="G29" s="19"/>
      <c r="H29">
        <v>12</v>
      </c>
      <c r="I29">
        <v>20</v>
      </c>
      <c r="J29">
        <f t="shared" si="2"/>
        <v>2.4</v>
      </c>
      <c r="K29">
        <f>D4</f>
        <v>3</v>
      </c>
      <c r="L29">
        <f t="shared" si="6"/>
        <v>7.1999999999999993</v>
      </c>
      <c r="M29">
        <v>0</v>
      </c>
      <c r="N29">
        <f t="shared" si="3"/>
        <v>7.1999999999999993</v>
      </c>
    </row>
    <row r="30" spans="1:17" x14ac:dyDescent="0.25">
      <c r="A30">
        <v>0.5</v>
      </c>
      <c r="B30" s="7">
        <v>590</v>
      </c>
      <c r="C30">
        <f t="shared" si="4"/>
        <v>1590</v>
      </c>
      <c r="D30">
        <v>680</v>
      </c>
      <c r="E30">
        <f t="shared" si="5"/>
        <v>910</v>
      </c>
      <c r="F30" s="19"/>
      <c r="G30" s="19"/>
      <c r="H30">
        <v>18</v>
      </c>
      <c r="I30">
        <v>20</v>
      </c>
      <c r="J30">
        <f t="shared" si="2"/>
        <v>3.5999999999999996</v>
      </c>
      <c r="K30">
        <f>D4</f>
        <v>3</v>
      </c>
      <c r="L30">
        <f t="shared" si="6"/>
        <v>10.799999999999999</v>
      </c>
      <c r="M30">
        <v>0</v>
      </c>
      <c r="N30">
        <f t="shared" si="3"/>
        <v>10.799999999999999</v>
      </c>
    </row>
    <row r="31" spans="1:17" x14ac:dyDescent="0.25">
      <c r="A31">
        <v>0.6</v>
      </c>
      <c r="B31" s="7">
        <v>640</v>
      </c>
      <c r="C31">
        <f t="shared" si="4"/>
        <v>1540</v>
      </c>
      <c r="D31">
        <v>680</v>
      </c>
      <c r="E31">
        <f t="shared" si="5"/>
        <v>860</v>
      </c>
      <c r="F31" s="19"/>
      <c r="G31" s="19"/>
      <c r="H31">
        <v>25</v>
      </c>
      <c r="I31">
        <v>20</v>
      </c>
      <c r="J31">
        <f t="shared" si="2"/>
        <v>5</v>
      </c>
      <c r="K31">
        <f>D4</f>
        <v>3</v>
      </c>
      <c r="L31">
        <f t="shared" si="6"/>
        <v>15</v>
      </c>
      <c r="M31">
        <v>0</v>
      </c>
      <c r="N31">
        <f t="shared" si="3"/>
        <v>15</v>
      </c>
    </row>
    <row r="32" spans="1:17" x14ac:dyDescent="0.25">
      <c r="A32">
        <v>0.7</v>
      </c>
      <c r="B32" s="7">
        <v>680</v>
      </c>
      <c r="C32">
        <f t="shared" si="4"/>
        <v>1500</v>
      </c>
      <c r="D32">
        <v>680</v>
      </c>
      <c r="E32">
        <f t="shared" si="5"/>
        <v>820</v>
      </c>
      <c r="F32" s="19"/>
      <c r="G32" s="19"/>
      <c r="H32">
        <v>34</v>
      </c>
      <c r="I32">
        <v>20</v>
      </c>
      <c r="J32">
        <f t="shared" si="2"/>
        <v>6.8000000000000007</v>
      </c>
      <c r="K32">
        <f>D4</f>
        <v>3</v>
      </c>
      <c r="L32">
        <f t="shared" si="6"/>
        <v>20.400000000000002</v>
      </c>
      <c r="M32">
        <v>0</v>
      </c>
      <c r="N32">
        <f t="shared" si="3"/>
        <v>20.400000000000002</v>
      </c>
    </row>
    <row r="33" spans="1:14" x14ac:dyDescent="0.25">
      <c r="A33">
        <v>0.8</v>
      </c>
      <c r="B33" s="7">
        <v>710</v>
      </c>
      <c r="C33">
        <f t="shared" si="4"/>
        <v>1470</v>
      </c>
      <c r="D33">
        <v>680</v>
      </c>
      <c r="E33">
        <f t="shared" si="5"/>
        <v>790</v>
      </c>
      <c r="F33" s="19"/>
      <c r="G33" s="19"/>
      <c r="H33">
        <v>45</v>
      </c>
      <c r="I33">
        <v>20</v>
      </c>
      <c r="J33">
        <f t="shared" si="2"/>
        <v>9</v>
      </c>
      <c r="K33">
        <f>D4</f>
        <v>3</v>
      </c>
      <c r="L33">
        <f t="shared" si="6"/>
        <v>27</v>
      </c>
      <c r="M33">
        <v>0</v>
      </c>
      <c r="N33">
        <f t="shared" si="3"/>
        <v>27</v>
      </c>
    </row>
    <row r="34" spans="1:14" x14ac:dyDescent="0.25">
      <c r="A34">
        <v>0.9</v>
      </c>
      <c r="B34" s="7">
        <v>730</v>
      </c>
      <c r="C34">
        <f t="shared" si="4"/>
        <v>1450</v>
      </c>
      <c r="D34">
        <v>680</v>
      </c>
      <c r="E34">
        <f t="shared" si="5"/>
        <v>770</v>
      </c>
      <c r="F34" s="19"/>
      <c r="G34" s="19"/>
      <c r="H34">
        <v>57</v>
      </c>
      <c r="I34">
        <v>20</v>
      </c>
      <c r="J34">
        <f t="shared" si="2"/>
        <v>11.399999999999999</v>
      </c>
      <c r="K34">
        <f>D4</f>
        <v>3</v>
      </c>
      <c r="L34">
        <f t="shared" si="6"/>
        <v>34.199999999999996</v>
      </c>
      <c r="M34">
        <v>0</v>
      </c>
      <c r="N34">
        <f t="shared" si="3"/>
        <v>34.199999999999996</v>
      </c>
    </row>
    <row r="35" spans="1:14" x14ac:dyDescent="0.25">
      <c r="A35">
        <v>1</v>
      </c>
      <c r="B35" s="7">
        <v>740</v>
      </c>
      <c r="C35">
        <f t="shared" si="4"/>
        <v>1440</v>
      </c>
      <c r="D35">
        <v>680</v>
      </c>
      <c r="E35">
        <f t="shared" si="5"/>
        <v>760</v>
      </c>
      <c r="F35" s="19"/>
      <c r="G35" s="19"/>
      <c r="H35">
        <v>70</v>
      </c>
      <c r="I35">
        <v>20</v>
      </c>
      <c r="J35">
        <f t="shared" si="2"/>
        <v>14</v>
      </c>
      <c r="K35">
        <f>D4</f>
        <v>3</v>
      </c>
      <c r="L35">
        <f t="shared" si="6"/>
        <v>42</v>
      </c>
      <c r="M35">
        <v>0</v>
      </c>
      <c r="N35">
        <f t="shared" si="3"/>
        <v>42</v>
      </c>
    </row>
    <row r="36" spans="1:14" ht="60" x14ac:dyDescent="0.25">
      <c r="A36" t="s">
        <v>1</v>
      </c>
      <c r="F36" s="19"/>
      <c r="G36" s="19"/>
      <c r="H36">
        <f>100-((100-H21)*(1-H23/100))</f>
        <v>0</v>
      </c>
      <c r="M36" s="15" t="s">
        <v>11</v>
      </c>
    </row>
    <row r="37" spans="1:14" x14ac:dyDescent="0.25">
      <c r="A37">
        <v>0</v>
      </c>
      <c r="B37">
        <v>0</v>
      </c>
      <c r="C37">
        <f>D1</f>
        <v>2180</v>
      </c>
      <c r="D37">
        <v>680</v>
      </c>
      <c r="E37" s="5"/>
      <c r="F37" s="19"/>
      <c r="G37" s="19"/>
      <c r="H37">
        <v>0</v>
      </c>
      <c r="J37">
        <f t="shared" ref="J37:J47" si="7">H37/5</f>
        <v>0</v>
      </c>
      <c r="K37">
        <f>D4</f>
        <v>3</v>
      </c>
      <c r="L37">
        <f t="shared" si="6"/>
        <v>0</v>
      </c>
      <c r="M37">
        <v>0</v>
      </c>
      <c r="N37">
        <f t="shared" si="3"/>
        <v>0</v>
      </c>
    </row>
    <row r="38" spans="1:14" x14ac:dyDescent="0.25">
      <c r="A38">
        <v>0.1</v>
      </c>
      <c r="B38">
        <v>0</v>
      </c>
      <c r="C38">
        <f>D1</f>
        <v>2180</v>
      </c>
      <c r="D38">
        <v>760</v>
      </c>
      <c r="E38" s="5"/>
      <c r="F38" s="19"/>
      <c r="G38" s="19"/>
      <c r="H38">
        <v>0.5</v>
      </c>
      <c r="J38">
        <f t="shared" si="7"/>
        <v>0.1</v>
      </c>
      <c r="K38">
        <f>D4</f>
        <v>3</v>
      </c>
      <c r="L38">
        <f t="shared" si="6"/>
        <v>0.30000000000000004</v>
      </c>
      <c r="M38">
        <v>2</v>
      </c>
      <c r="N38">
        <f t="shared" si="3"/>
        <v>2.2999999999999998</v>
      </c>
    </row>
    <row r="39" spans="1:14" x14ac:dyDescent="0.25">
      <c r="A39">
        <v>0.2</v>
      </c>
      <c r="B39">
        <v>0</v>
      </c>
      <c r="C39">
        <f>D1</f>
        <v>2180</v>
      </c>
      <c r="D39">
        <v>830</v>
      </c>
      <c r="E39" s="5"/>
      <c r="F39" s="19"/>
      <c r="G39" s="19"/>
      <c r="H39">
        <v>1</v>
      </c>
      <c r="J39">
        <f t="shared" si="7"/>
        <v>0.2</v>
      </c>
      <c r="K39">
        <f>D4</f>
        <v>3</v>
      </c>
      <c r="L39">
        <f t="shared" si="6"/>
        <v>0.60000000000000009</v>
      </c>
      <c r="M39">
        <v>4</v>
      </c>
      <c r="N39">
        <f t="shared" si="3"/>
        <v>4.5999999999999996</v>
      </c>
    </row>
    <row r="40" spans="1:14" x14ac:dyDescent="0.25">
      <c r="A40">
        <v>0.3</v>
      </c>
      <c r="B40">
        <v>0</v>
      </c>
      <c r="C40">
        <f>D1</f>
        <v>2180</v>
      </c>
      <c r="D40">
        <v>890</v>
      </c>
      <c r="E40" s="5"/>
      <c r="F40" s="19"/>
      <c r="G40" s="19"/>
      <c r="H40">
        <v>2</v>
      </c>
      <c r="J40">
        <f t="shared" si="7"/>
        <v>0.4</v>
      </c>
      <c r="K40">
        <f>D4</f>
        <v>3</v>
      </c>
      <c r="L40">
        <f t="shared" si="6"/>
        <v>1.2000000000000002</v>
      </c>
      <c r="M40">
        <v>6</v>
      </c>
      <c r="N40">
        <f t="shared" si="3"/>
        <v>7.2</v>
      </c>
    </row>
    <row r="41" spans="1:14" x14ac:dyDescent="0.25">
      <c r="A41">
        <v>0.4</v>
      </c>
      <c r="B41">
        <v>0</v>
      </c>
      <c r="C41">
        <f>D1</f>
        <v>2180</v>
      </c>
      <c r="D41">
        <v>940</v>
      </c>
      <c r="E41" s="5"/>
      <c r="F41" s="19"/>
      <c r="G41" s="19"/>
      <c r="H41">
        <v>4</v>
      </c>
      <c r="J41">
        <f t="shared" si="7"/>
        <v>0.8</v>
      </c>
      <c r="K41">
        <f>D4</f>
        <v>3</v>
      </c>
      <c r="L41">
        <f t="shared" si="6"/>
        <v>2.4000000000000004</v>
      </c>
      <c r="M41">
        <v>8</v>
      </c>
      <c r="N41">
        <f t="shared" si="3"/>
        <v>10.4</v>
      </c>
    </row>
    <row r="42" spans="1:14" x14ac:dyDescent="0.25">
      <c r="A42">
        <v>0.5</v>
      </c>
      <c r="B42">
        <v>0</v>
      </c>
      <c r="C42">
        <f>D1</f>
        <v>2180</v>
      </c>
      <c r="D42">
        <v>980</v>
      </c>
      <c r="E42" s="5"/>
      <c r="F42" s="19"/>
      <c r="G42" s="19"/>
      <c r="H42">
        <v>6</v>
      </c>
      <c r="J42">
        <f t="shared" si="7"/>
        <v>1.2</v>
      </c>
      <c r="K42">
        <f>D4</f>
        <v>3</v>
      </c>
      <c r="L42">
        <f t="shared" si="6"/>
        <v>3.5999999999999996</v>
      </c>
      <c r="M42">
        <v>10</v>
      </c>
      <c r="N42">
        <f t="shared" si="3"/>
        <v>13.6</v>
      </c>
    </row>
    <row r="43" spans="1:14" x14ac:dyDescent="0.25">
      <c r="A43">
        <v>0.6</v>
      </c>
      <c r="B43">
        <v>0</v>
      </c>
      <c r="C43">
        <f>D1</f>
        <v>2180</v>
      </c>
      <c r="D43">
        <v>1010</v>
      </c>
      <c r="E43" s="5"/>
      <c r="F43" s="19"/>
      <c r="G43" s="19"/>
      <c r="H43">
        <v>8</v>
      </c>
      <c r="J43">
        <f t="shared" si="7"/>
        <v>1.6</v>
      </c>
      <c r="K43">
        <f>D4</f>
        <v>3</v>
      </c>
      <c r="L43">
        <f t="shared" si="6"/>
        <v>4.8000000000000007</v>
      </c>
      <c r="M43">
        <v>12</v>
      </c>
      <c r="N43">
        <f t="shared" si="3"/>
        <v>16.8</v>
      </c>
    </row>
    <row r="44" spans="1:14" x14ac:dyDescent="0.25">
      <c r="A44">
        <v>0.7</v>
      </c>
      <c r="B44">
        <v>0</v>
      </c>
      <c r="C44">
        <f>D1</f>
        <v>2180</v>
      </c>
      <c r="D44">
        <v>1030</v>
      </c>
      <c r="E44" s="5"/>
      <c r="F44" s="19"/>
      <c r="G44" s="19"/>
      <c r="H44">
        <v>11</v>
      </c>
      <c r="J44">
        <f t="shared" si="7"/>
        <v>2.2000000000000002</v>
      </c>
      <c r="K44">
        <f>D4</f>
        <v>3</v>
      </c>
      <c r="L44">
        <f t="shared" si="6"/>
        <v>6.6000000000000005</v>
      </c>
      <c r="M44">
        <v>14</v>
      </c>
      <c r="N44">
        <f t="shared" si="3"/>
        <v>20.6</v>
      </c>
    </row>
    <row r="45" spans="1:14" x14ac:dyDescent="0.25">
      <c r="A45">
        <v>0.8</v>
      </c>
      <c r="B45">
        <v>0</v>
      </c>
      <c r="C45">
        <f>D1</f>
        <v>2180</v>
      </c>
      <c r="D45">
        <v>1050</v>
      </c>
      <c r="E45" s="5"/>
      <c r="F45" s="19"/>
      <c r="G45" s="19"/>
      <c r="H45">
        <v>14</v>
      </c>
      <c r="J45">
        <f t="shared" si="7"/>
        <v>2.8</v>
      </c>
      <c r="K45">
        <f>D4</f>
        <v>3</v>
      </c>
      <c r="L45">
        <f t="shared" si="6"/>
        <v>8.3999999999999986</v>
      </c>
      <c r="M45">
        <v>16</v>
      </c>
      <c r="N45">
        <f t="shared" si="3"/>
        <v>24.4</v>
      </c>
    </row>
    <row r="46" spans="1:14" x14ac:dyDescent="0.25">
      <c r="A46">
        <v>0.9</v>
      </c>
      <c r="B46">
        <v>0</v>
      </c>
      <c r="C46">
        <f>D1</f>
        <v>2180</v>
      </c>
      <c r="D46">
        <v>1070</v>
      </c>
      <c r="E46" s="5"/>
      <c r="F46" s="19"/>
      <c r="G46" s="19"/>
      <c r="H46">
        <v>17</v>
      </c>
      <c r="J46">
        <f t="shared" si="7"/>
        <v>3.4</v>
      </c>
      <c r="K46">
        <f>D4</f>
        <v>3</v>
      </c>
      <c r="L46">
        <f t="shared" si="6"/>
        <v>10.199999999999999</v>
      </c>
      <c r="M46">
        <v>18</v>
      </c>
      <c r="N46">
        <f t="shared" si="3"/>
        <v>28.2</v>
      </c>
    </row>
    <row r="47" spans="1:14" x14ac:dyDescent="0.25">
      <c r="A47">
        <v>1</v>
      </c>
      <c r="B47">
        <v>0</v>
      </c>
      <c r="C47">
        <f>D1</f>
        <v>2180</v>
      </c>
      <c r="D47">
        <v>1090</v>
      </c>
      <c r="E47" s="5"/>
      <c r="F47" s="19"/>
      <c r="G47" s="19"/>
      <c r="H47">
        <v>20</v>
      </c>
      <c r="J47">
        <f t="shared" si="7"/>
        <v>4</v>
      </c>
      <c r="K47">
        <f>D4</f>
        <v>3</v>
      </c>
      <c r="L47">
        <f t="shared" si="6"/>
        <v>12</v>
      </c>
      <c r="M47">
        <v>20</v>
      </c>
      <c r="N47">
        <f t="shared" si="3"/>
        <v>32</v>
      </c>
    </row>
    <row r="50" spans="1:6" x14ac:dyDescent="0.25">
      <c r="A50" s="2"/>
      <c r="B50" s="2"/>
      <c r="C50" s="2"/>
      <c r="D50" s="2"/>
      <c r="E50" s="2"/>
      <c r="F50" s="2"/>
    </row>
    <row r="51" spans="1:6" x14ac:dyDescent="0.25">
      <c r="A51" s="2"/>
    </row>
    <row r="52" spans="1:6" x14ac:dyDescent="0.25">
      <c r="A52" s="2"/>
    </row>
    <row r="53" spans="1:6" x14ac:dyDescent="0.25">
      <c r="A53" s="2"/>
    </row>
    <row r="54" spans="1:6" x14ac:dyDescent="0.25">
      <c r="A54" s="2"/>
    </row>
    <row r="55" spans="1:6" x14ac:dyDescent="0.25">
      <c r="A55" s="2"/>
    </row>
    <row r="56" spans="1:6" x14ac:dyDescent="0.25">
      <c r="A56" s="2"/>
    </row>
    <row r="57" spans="1:6" x14ac:dyDescent="0.25">
      <c r="A57" s="3"/>
    </row>
  </sheetData>
  <conditionalFormatting sqref="D13">
    <cfRule type="cellIs" dxfId="1" priority="1" operator="greaterThan">
      <formula>10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4098" r:id="rId4" name="cmbcropindex">
          <controlPr defaultSize="0" autoLine="0" r:id="rId5">
            <anchor moveWithCells="1">
              <from>
                <xdr:col>0</xdr:col>
                <xdr:colOff>9525</xdr:colOff>
                <xdr:row>3</xdr:row>
                <xdr:rowOff>0</xdr:rowOff>
              </from>
              <to>
                <xdr:col>0</xdr:col>
                <xdr:colOff>1914525</xdr:colOff>
                <xdr:row>4</xdr:row>
                <xdr:rowOff>38100</xdr:rowOff>
              </to>
            </anchor>
          </controlPr>
        </control>
      </mc:Choice>
      <mc:Fallback>
        <control shapeId="4098" r:id="rId4" name="cmbcropindex"/>
      </mc:Fallback>
    </mc:AlternateContent>
    <mc:AlternateContent xmlns:mc="http://schemas.openxmlformats.org/markup-compatibility/2006">
      <mc:Choice Requires="x14">
        <control shapeId="4097" r:id="rId6" name="cmbrain">
          <controlPr defaultSize="0" autoLine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1962150</xdr:colOff>
                <xdr:row>1</xdr:row>
                <xdr:rowOff>47625</xdr:rowOff>
              </to>
            </anchor>
          </controlPr>
        </control>
      </mc:Choice>
      <mc:Fallback>
        <control shapeId="4097" r:id="rId6" name="cmbrai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83"/>
  <sheetViews>
    <sheetView topLeftCell="A10" workbookViewId="0">
      <selection activeCell="B20" sqref="B20"/>
    </sheetView>
  </sheetViews>
  <sheetFormatPr defaultRowHeight="15" x14ac:dyDescent="0.25"/>
  <cols>
    <col min="1" max="1" width="21.7109375" customWidth="1"/>
    <col min="2" max="2" width="10.140625" customWidth="1"/>
    <col min="3" max="3" width="15.85546875" customWidth="1"/>
  </cols>
  <sheetData>
    <row r="1" spans="1:2" x14ac:dyDescent="0.25">
      <c r="A1" t="s">
        <v>47</v>
      </c>
    </row>
    <row r="2" spans="1:2" x14ac:dyDescent="0.25">
      <c r="A2" s="2" t="s">
        <v>55</v>
      </c>
      <c r="B2" t="s">
        <v>56</v>
      </c>
    </row>
    <row r="3" spans="1:2" x14ac:dyDescent="0.25">
      <c r="A3">
        <v>0</v>
      </c>
      <c r="B3">
        <v>0</v>
      </c>
    </row>
    <row r="4" spans="1:2" x14ac:dyDescent="0.25">
      <c r="A4">
        <v>0.1</v>
      </c>
      <c r="B4">
        <v>1</v>
      </c>
    </row>
    <row r="5" spans="1:2" x14ac:dyDescent="0.25">
      <c r="A5">
        <v>0.2</v>
      </c>
      <c r="B5">
        <v>3</v>
      </c>
    </row>
    <row r="6" spans="1:2" x14ac:dyDescent="0.25">
      <c r="A6">
        <v>0.3</v>
      </c>
      <c r="B6">
        <v>7</v>
      </c>
    </row>
    <row r="7" spans="1:2" x14ac:dyDescent="0.25">
      <c r="A7">
        <v>0.4</v>
      </c>
      <c r="B7">
        <v>12</v>
      </c>
    </row>
    <row r="8" spans="1:2" x14ac:dyDescent="0.25">
      <c r="A8">
        <v>0.5</v>
      </c>
      <c r="B8">
        <v>18</v>
      </c>
    </row>
    <row r="9" spans="1:2" x14ac:dyDescent="0.25">
      <c r="A9">
        <v>0.6</v>
      </c>
      <c r="B9">
        <v>25</v>
      </c>
    </row>
    <row r="10" spans="1:2" x14ac:dyDescent="0.25">
      <c r="A10">
        <v>0.7</v>
      </c>
      <c r="B10">
        <v>34</v>
      </c>
    </row>
    <row r="11" spans="1:2" x14ac:dyDescent="0.25">
      <c r="A11">
        <v>0.8</v>
      </c>
      <c r="B11">
        <v>45</v>
      </c>
    </row>
    <row r="12" spans="1:2" x14ac:dyDescent="0.25">
      <c r="A12">
        <v>0.9</v>
      </c>
      <c r="B12">
        <v>57</v>
      </c>
    </row>
    <row r="13" spans="1:2" x14ac:dyDescent="0.25">
      <c r="A13">
        <v>1</v>
      </c>
      <c r="B13">
        <v>70</v>
      </c>
    </row>
    <row r="20" spans="1:3" x14ac:dyDescent="0.25">
      <c r="A20" s="2" t="s">
        <v>48</v>
      </c>
      <c r="C20" t="s">
        <v>52</v>
      </c>
    </row>
    <row r="21" spans="1:3" x14ac:dyDescent="0.25">
      <c r="A21">
        <v>0</v>
      </c>
      <c r="B21">
        <v>0</v>
      </c>
      <c r="C21">
        <v>0</v>
      </c>
    </row>
    <row r="22" spans="1:3" x14ac:dyDescent="0.25">
      <c r="A22">
        <v>0.1</v>
      </c>
      <c r="B22">
        <v>0.5</v>
      </c>
      <c r="C22">
        <v>0.5</v>
      </c>
    </row>
    <row r="23" spans="1:3" x14ac:dyDescent="0.25">
      <c r="A23">
        <v>0.2</v>
      </c>
      <c r="B23">
        <v>1</v>
      </c>
      <c r="C23">
        <v>1</v>
      </c>
    </row>
    <row r="24" spans="1:3" x14ac:dyDescent="0.25">
      <c r="A24">
        <v>0.3</v>
      </c>
      <c r="B24">
        <v>2</v>
      </c>
      <c r="C24">
        <v>2</v>
      </c>
    </row>
    <row r="25" spans="1:3" x14ac:dyDescent="0.25">
      <c r="A25">
        <v>0.4</v>
      </c>
      <c r="B25">
        <v>4</v>
      </c>
      <c r="C25">
        <v>4</v>
      </c>
    </row>
    <row r="26" spans="1:3" x14ac:dyDescent="0.25">
      <c r="A26">
        <v>0.5</v>
      </c>
      <c r="B26">
        <v>6</v>
      </c>
      <c r="C26">
        <v>6</v>
      </c>
    </row>
    <row r="27" spans="1:3" x14ac:dyDescent="0.25">
      <c r="A27">
        <v>0.6</v>
      </c>
      <c r="B27">
        <v>7</v>
      </c>
      <c r="C27">
        <v>8</v>
      </c>
    </row>
    <row r="28" spans="1:3" x14ac:dyDescent="0.25">
      <c r="A28">
        <v>0.7</v>
      </c>
      <c r="B28">
        <v>10</v>
      </c>
      <c r="C28">
        <v>11</v>
      </c>
    </row>
    <row r="29" spans="1:3" x14ac:dyDescent="0.25">
      <c r="A29">
        <v>0.8</v>
      </c>
      <c r="B29">
        <v>14</v>
      </c>
      <c r="C29">
        <v>14</v>
      </c>
    </row>
    <row r="30" spans="1:3" x14ac:dyDescent="0.25">
      <c r="A30">
        <v>0.9</v>
      </c>
      <c r="B30">
        <v>17</v>
      </c>
      <c r="C30">
        <v>17</v>
      </c>
    </row>
    <row r="31" spans="1:3" x14ac:dyDescent="0.25">
      <c r="A31">
        <v>1</v>
      </c>
      <c r="B31">
        <v>20</v>
      </c>
      <c r="C31">
        <v>20</v>
      </c>
    </row>
    <row r="36" spans="1:2" x14ac:dyDescent="0.25">
      <c r="A36" s="2" t="s">
        <v>49</v>
      </c>
    </row>
    <row r="38" spans="1:2" x14ac:dyDescent="0.25">
      <c r="A38">
        <v>0</v>
      </c>
      <c r="B38">
        <v>0</v>
      </c>
    </row>
    <row r="39" spans="1:2" x14ac:dyDescent="0.25">
      <c r="A39">
        <v>0.1</v>
      </c>
      <c r="B39">
        <v>200</v>
      </c>
    </row>
    <row r="40" spans="1:2" x14ac:dyDescent="0.25">
      <c r="A40">
        <v>0.2</v>
      </c>
      <c r="B40">
        <v>350</v>
      </c>
    </row>
    <row r="41" spans="1:2" x14ac:dyDescent="0.25">
      <c r="A41">
        <v>0.3</v>
      </c>
      <c r="B41">
        <v>450</v>
      </c>
    </row>
    <row r="42" spans="1:2" x14ac:dyDescent="0.25">
      <c r="A42">
        <v>0.4</v>
      </c>
      <c r="B42">
        <v>530</v>
      </c>
    </row>
    <row r="43" spans="1:2" x14ac:dyDescent="0.25">
      <c r="A43">
        <v>0.5</v>
      </c>
      <c r="B43">
        <v>590</v>
      </c>
    </row>
    <row r="44" spans="1:2" x14ac:dyDescent="0.25">
      <c r="A44">
        <v>0.6</v>
      </c>
      <c r="B44">
        <v>640</v>
      </c>
    </row>
    <row r="45" spans="1:2" x14ac:dyDescent="0.25">
      <c r="A45">
        <v>0.7</v>
      </c>
      <c r="B45">
        <v>680</v>
      </c>
    </row>
    <row r="46" spans="1:2" x14ac:dyDescent="0.25">
      <c r="A46">
        <v>0.8</v>
      </c>
      <c r="B46">
        <v>710</v>
      </c>
    </row>
    <row r="47" spans="1:2" x14ac:dyDescent="0.25">
      <c r="A47">
        <v>0.9</v>
      </c>
      <c r="B47">
        <v>730</v>
      </c>
    </row>
    <row r="48" spans="1:2" x14ac:dyDescent="0.25">
      <c r="A48">
        <v>1</v>
      </c>
      <c r="B48">
        <v>750</v>
      </c>
    </row>
    <row r="53" spans="1:13" x14ac:dyDescent="0.25">
      <c r="A53" s="2" t="s">
        <v>50</v>
      </c>
      <c r="M53">
        <f>247.06*LN(0.01)+758.71</f>
        <v>-379.04334615021776</v>
      </c>
    </row>
    <row r="55" spans="1:13" x14ac:dyDescent="0.25">
      <c r="A55">
        <v>0</v>
      </c>
      <c r="B55">
        <v>680</v>
      </c>
    </row>
    <row r="56" spans="1:13" x14ac:dyDescent="0.25">
      <c r="A56">
        <v>0.1</v>
      </c>
      <c r="B56">
        <v>760</v>
      </c>
    </row>
    <row r="57" spans="1:13" x14ac:dyDescent="0.25">
      <c r="A57">
        <v>0.2</v>
      </c>
      <c r="B57">
        <v>830</v>
      </c>
    </row>
    <row r="58" spans="1:13" x14ac:dyDescent="0.25">
      <c r="A58">
        <v>0.3</v>
      </c>
      <c r="B58">
        <v>890</v>
      </c>
    </row>
    <row r="59" spans="1:13" x14ac:dyDescent="0.25">
      <c r="A59">
        <v>0.4</v>
      </c>
      <c r="B59">
        <v>940</v>
      </c>
    </row>
    <row r="60" spans="1:13" x14ac:dyDescent="0.25">
      <c r="A60">
        <v>0.5</v>
      </c>
      <c r="B60">
        <v>980</v>
      </c>
    </row>
    <row r="61" spans="1:13" x14ac:dyDescent="0.25">
      <c r="A61">
        <v>0.6</v>
      </c>
      <c r="B61">
        <v>1010</v>
      </c>
    </row>
    <row r="62" spans="1:13" x14ac:dyDescent="0.25">
      <c r="A62">
        <v>0.7</v>
      </c>
      <c r="B62">
        <v>1030</v>
      </c>
    </row>
    <row r="63" spans="1:13" x14ac:dyDescent="0.25">
      <c r="A63">
        <v>0.8</v>
      </c>
      <c r="B63">
        <v>1050</v>
      </c>
    </row>
    <row r="64" spans="1:13" x14ac:dyDescent="0.25">
      <c r="A64">
        <v>0.9</v>
      </c>
      <c r="B64">
        <v>1070</v>
      </c>
    </row>
    <row r="65" spans="1:2" x14ac:dyDescent="0.25">
      <c r="A65">
        <v>1</v>
      </c>
      <c r="B65">
        <v>1090</v>
      </c>
    </row>
    <row r="71" spans="1:2" x14ac:dyDescent="0.25">
      <c r="A71" t="s">
        <v>51</v>
      </c>
    </row>
    <row r="73" spans="1:2" x14ac:dyDescent="0.25">
      <c r="A73">
        <v>0</v>
      </c>
      <c r="B73">
        <v>0</v>
      </c>
    </row>
    <row r="74" spans="1:2" x14ac:dyDescent="0.25">
      <c r="A74">
        <v>0.1</v>
      </c>
      <c r="B74">
        <v>2</v>
      </c>
    </row>
    <row r="75" spans="1:2" x14ac:dyDescent="0.25">
      <c r="A75">
        <v>0.2</v>
      </c>
      <c r="B75">
        <v>4</v>
      </c>
    </row>
    <row r="76" spans="1:2" x14ac:dyDescent="0.25">
      <c r="A76">
        <v>0.3</v>
      </c>
      <c r="B76">
        <v>6</v>
      </c>
    </row>
    <row r="77" spans="1:2" x14ac:dyDescent="0.25">
      <c r="A77">
        <v>0.4</v>
      </c>
      <c r="B77">
        <v>8</v>
      </c>
    </row>
    <row r="78" spans="1:2" x14ac:dyDescent="0.25">
      <c r="A78">
        <v>0.5</v>
      </c>
      <c r="B78">
        <v>10</v>
      </c>
    </row>
    <row r="79" spans="1:2" x14ac:dyDescent="0.25">
      <c r="A79">
        <v>0.6</v>
      </c>
      <c r="B79">
        <v>12</v>
      </c>
    </row>
    <row r="80" spans="1:2" x14ac:dyDescent="0.25">
      <c r="A80">
        <v>0.7</v>
      </c>
      <c r="B80">
        <v>14</v>
      </c>
    </row>
    <row r="81" spans="1:2" x14ac:dyDescent="0.25">
      <c r="A81">
        <v>0.8</v>
      </c>
      <c r="B81">
        <v>16</v>
      </c>
    </row>
    <row r="82" spans="1:2" x14ac:dyDescent="0.25">
      <c r="A82">
        <v>0.9</v>
      </c>
      <c r="B82">
        <v>18</v>
      </c>
    </row>
    <row r="83" spans="1:2" x14ac:dyDescent="0.25">
      <c r="A83">
        <v>1</v>
      </c>
      <c r="B83">
        <v>20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O94"/>
  <sheetViews>
    <sheetView topLeftCell="A52" zoomScaleNormal="100" workbookViewId="0">
      <selection activeCell="F86" sqref="F86"/>
    </sheetView>
  </sheetViews>
  <sheetFormatPr defaultRowHeight="15" x14ac:dyDescent="0.25"/>
  <cols>
    <col min="1" max="1" width="29.7109375" customWidth="1"/>
    <col min="2" max="2" width="29" customWidth="1"/>
    <col min="3" max="3" width="19.42578125" customWidth="1"/>
    <col min="4" max="4" width="26.28515625" customWidth="1"/>
    <col min="5" max="5" width="37.7109375" customWidth="1"/>
    <col min="6" max="6" width="24" customWidth="1"/>
    <col min="7" max="7" width="22" customWidth="1"/>
    <col min="8" max="8" width="12.28515625" customWidth="1"/>
    <col min="9" max="9" width="19" bestFit="1" customWidth="1"/>
  </cols>
  <sheetData>
    <row r="1" spans="1:6" x14ac:dyDescent="0.25">
      <c r="B1" t="s">
        <v>16</v>
      </c>
      <c r="D1" s="3" t="s">
        <v>22</v>
      </c>
      <c r="E1" s="1">
        <v>2180</v>
      </c>
      <c r="F1" t="s">
        <v>25</v>
      </c>
    </row>
    <row r="2" spans="1:6" x14ac:dyDescent="0.25">
      <c r="E2" s="1"/>
    </row>
    <row r="3" spans="1:6" x14ac:dyDescent="0.25">
      <c r="B3" s="1"/>
      <c r="C3" s="1"/>
      <c r="E3" s="1"/>
    </row>
    <row r="4" spans="1:6" x14ac:dyDescent="0.25">
      <c r="B4" t="s">
        <v>29</v>
      </c>
      <c r="D4" s="3" t="s">
        <v>26</v>
      </c>
      <c r="E4" s="1">
        <v>3</v>
      </c>
    </row>
    <row r="5" spans="1:6" x14ac:dyDescent="0.25">
      <c r="D5" s="3"/>
      <c r="E5" s="1"/>
    </row>
    <row r="6" spans="1:6" x14ac:dyDescent="0.25">
      <c r="A6" s="10" t="s">
        <v>30</v>
      </c>
      <c r="E6" s="1"/>
    </row>
    <row r="7" spans="1:6" x14ac:dyDescent="0.25">
      <c r="A7" t="s">
        <v>53</v>
      </c>
      <c r="B7" s="9" t="s">
        <v>14</v>
      </c>
      <c r="C7" s="16">
        <v>0</v>
      </c>
      <c r="D7" s="3" t="s">
        <v>18</v>
      </c>
      <c r="E7" s="1">
        <f>I45*C86/C92</f>
        <v>0</v>
      </c>
      <c r="F7" t="s">
        <v>24</v>
      </c>
    </row>
    <row r="8" spans="1:6" x14ac:dyDescent="0.25">
      <c r="B8" t="s">
        <v>46</v>
      </c>
      <c r="C8" s="1"/>
      <c r="E8" s="1"/>
    </row>
    <row r="9" spans="1:6" x14ac:dyDescent="0.25">
      <c r="B9" s="9" t="s">
        <v>15</v>
      </c>
      <c r="C9" s="16">
        <v>0</v>
      </c>
      <c r="D9" s="3" t="s">
        <v>19</v>
      </c>
      <c r="E9" s="1">
        <f>I47*C86/C92</f>
        <v>0</v>
      </c>
      <c r="F9" t="s">
        <v>24</v>
      </c>
    </row>
    <row r="10" spans="1:6" x14ac:dyDescent="0.25">
      <c r="B10" s="9" t="s">
        <v>46</v>
      </c>
      <c r="C10" s="16"/>
      <c r="E10" s="1"/>
    </row>
    <row r="11" spans="1:6" x14ac:dyDescent="0.25">
      <c r="A11" s="10" t="s">
        <v>31</v>
      </c>
      <c r="C11" s="1"/>
      <c r="E11" s="1"/>
    </row>
    <row r="12" spans="1:6" x14ac:dyDescent="0.25">
      <c r="A12" t="s">
        <v>44</v>
      </c>
      <c r="B12" s="9" t="s">
        <v>14</v>
      </c>
      <c r="C12" s="16">
        <v>0</v>
      </c>
      <c r="D12" s="3" t="s">
        <v>18</v>
      </c>
      <c r="E12" s="1">
        <f>I52*C87/C92</f>
        <v>0</v>
      </c>
      <c r="F12" t="s">
        <v>24</v>
      </c>
    </row>
    <row r="13" spans="1:6" x14ac:dyDescent="0.25">
      <c r="B13" t="s">
        <v>46</v>
      </c>
      <c r="C13" s="1"/>
      <c r="E13" s="1"/>
    </row>
    <row r="14" spans="1:6" x14ac:dyDescent="0.25">
      <c r="B14" s="9" t="s">
        <v>15</v>
      </c>
      <c r="C14" s="16">
        <v>0</v>
      </c>
      <c r="D14" s="3" t="s">
        <v>19</v>
      </c>
      <c r="E14" s="1">
        <f>I54*C87/C92</f>
        <v>0</v>
      </c>
      <c r="F14" t="s">
        <v>24</v>
      </c>
    </row>
    <row r="15" spans="1:6" x14ac:dyDescent="0.25">
      <c r="B15" s="9" t="s">
        <v>46</v>
      </c>
      <c r="C15" s="16"/>
      <c r="E15" s="1"/>
    </row>
    <row r="16" spans="1:6" x14ac:dyDescent="0.25">
      <c r="A16" s="10" t="s">
        <v>32</v>
      </c>
      <c r="C16" s="1"/>
      <c r="E16" s="1"/>
    </row>
    <row r="17" spans="1:6" x14ac:dyDescent="0.25">
      <c r="A17" t="s">
        <v>45</v>
      </c>
      <c r="B17" s="9" t="s">
        <v>14</v>
      </c>
      <c r="C17" s="16">
        <v>0</v>
      </c>
      <c r="D17" s="3" t="s">
        <v>18</v>
      </c>
      <c r="E17" s="1">
        <f>I59*C88/C92</f>
        <v>0</v>
      </c>
      <c r="F17" t="s">
        <v>24</v>
      </c>
    </row>
    <row r="18" spans="1:6" x14ac:dyDescent="0.25">
      <c r="B18" t="s">
        <v>46</v>
      </c>
      <c r="C18" s="1"/>
      <c r="E18" s="1"/>
    </row>
    <row r="19" spans="1:6" x14ac:dyDescent="0.25">
      <c r="B19" s="9" t="s">
        <v>15</v>
      </c>
      <c r="C19" s="16">
        <v>0</v>
      </c>
      <c r="D19" s="3" t="s">
        <v>19</v>
      </c>
      <c r="E19" s="1">
        <f>I61*C88/C92</f>
        <v>0</v>
      </c>
      <c r="F19" t="s">
        <v>24</v>
      </c>
    </row>
    <row r="20" spans="1:6" x14ac:dyDescent="0.25">
      <c r="B20" s="9" t="s">
        <v>46</v>
      </c>
      <c r="C20" s="16"/>
      <c r="E20" s="1"/>
    </row>
    <row r="21" spans="1:6" x14ac:dyDescent="0.25">
      <c r="A21" s="10" t="s">
        <v>35</v>
      </c>
      <c r="C21" s="1"/>
      <c r="E21" s="1"/>
    </row>
    <row r="22" spans="1:6" x14ac:dyDescent="0.25">
      <c r="A22" t="s">
        <v>45</v>
      </c>
      <c r="B22" s="9" t="s">
        <v>14</v>
      </c>
      <c r="C22" s="16">
        <v>0</v>
      </c>
      <c r="D22" s="3" t="s">
        <v>18</v>
      </c>
      <c r="E22" s="1">
        <f>I66*C89/C92</f>
        <v>0</v>
      </c>
      <c r="F22" t="s">
        <v>24</v>
      </c>
    </row>
    <row r="23" spans="1:6" x14ac:dyDescent="0.25">
      <c r="B23" t="s">
        <v>46</v>
      </c>
      <c r="C23" s="1"/>
      <c r="E23" s="1"/>
    </row>
    <row r="24" spans="1:6" x14ac:dyDescent="0.25">
      <c r="B24" s="9" t="s">
        <v>15</v>
      </c>
      <c r="C24" s="16">
        <v>0</v>
      </c>
      <c r="D24" s="3" t="s">
        <v>19</v>
      </c>
      <c r="E24" s="1">
        <f>I68*C89/C92</f>
        <v>0</v>
      </c>
      <c r="F24" t="s">
        <v>24</v>
      </c>
    </row>
    <row r="25" spans="1:6" x14ac:dyDescent="0.25">
      <c r="B25" s="9" t="s">
        <v>46</v>
      </c>
      <c r="C25" s="16"/>
      <c r="E25" s="1"/>
    </row>
    <row r="26" spans="1:6" x14ac:dyDescent="0.25">
      <c r="A26" s="10" t="s">
        <v>33</v>
      </c>
      <c r="C26" s="1"/>
      <c r="E26" s="1"/>
    </row>
    <row r="27" spans="1:6" x14ac:dyDescent="0.25">
      <c r="A27" t="s">
        <v>45</v>
      </c>
      <c r="B27" s="9" t="s">
        <v>14</v>
      </c>
      <c r="C27" s="16">
        <v>0</v>
      </c>
      <c r="D27" s="3" t="s">
        <v>18</v>
      </c>
      <c r="E27" s="1">
        <f>I73*C90/C92</f>
        <v>0</v>
      </c>
      <c r="F27" t="s">
        <v>24</v>
      </c>
    </row>
    <row r="28" spans="1:6" x14ac:dyDescent="0.25">
      <c r="B28" t="s">
        <v>46</v>
      </c>
      <c r="C28" s="1"/>
      <c r="E28" s="1"/>
    </row>
    <row r="29" spans="1:6" x14ac:dyDescent="0.25">
      <c r="B29" s="9" t="s">
        <v>15</v>
      </c>
      <c r="C29" s="16">
        <v>0</v>
      </c>
      <c r="D29" s="3" t="s">
        <v>19</v>
      </c>
      <c r="E29" s="1">
        <f>I75*C90/C92</f>
        <v>0</v>
      </c>
      <c r="F29" t="s">
        <v>24</v>
      </c>
    </row>
    <row r="30" spans="1:6" x14ac:dyDescent="0.25">
      <c r="B30" s="9" t="s">
        <v>46</v>
      </c>
      <c r="C30" s="16"/>
      <c r="E30" s="1"/>
    </row>
    <row r="31" spans="1:6" x14ac:dyDescent="0.25">
      <c r="A31" s="10" t="s">
        <v>34</v>
      </c>
      <c r="C31" s="1"/>
      <c r="E31" s="1"/>
    </row>
    <row r="32" spans="1:6" x14ac:dyDescent="0.25">
      <c r="A32" t="s">
        <v>54</v>
      </c>
      <c r="B32" s="9" t="s">
        <v>14</v>
      </c>
      <c r="C32" s="16">
        <v>0</v>
      </c>
      <c r="D32" s="3" t="s">
        <v>18</v>
      </c>
      <c r="E32" s="1">
        <f>I80*C91/C92</f>
        <v>0</v>
      </c>
      <c r="F32" t="s">
        <v>24</v>
      </c>
    </row>
    <row r="33" spans="1:15" x14ac:dyDescent="0.25">
      <c r="B33" t="s">
        <v>46</v>
      </c>
      <c r="C33" s="1"/>
      <c r="E33" s="1"/>
    </row>
    <row r="34" spans="1:15" x14ac:dyDescent="0.25">
      <c r="B34" s="9" t="s">
        <v>15</v>
      </c>
      <c r="C34" s="16">
        <v>0</v>
      </c>
      <c r="D34" s="3" t="s">
        <v>19</v>
      </c>
      <c r="E34" s="1">
        <f>I82*C91/C92</f>
        <v>0</v>
      </c>
      <c r="F34" t="s">
        <v>24</v>
      </c>
    </row>
    <row r="35" spans="1:15" x14ac:dyDescent="0.25">
      <c r="B35" s="9" t="s">
        <v>46</v>
      </c>
      <c r="C35" s="9"/>
      <c r="E35" s="1"/>
    </row>
    <row r="36" spans="1:15" x14ac:dyDescent="0.25">
      <c r="D36" s="4" t="s">
        <v>21</v>
      </c>
      <c r="E36" s="1">
        <f>SUM(E7+E9+E12+E14+E17+E19+E22+E24+E27+E29+E32+E34)</f>
        <v>0</v>
      </c>
      <c r="F36" t="s">
        <v>24</v>
      </c>
    </row>
    <row r="37" spans="1:15" x14ac:dyDescent="0.25">
      <c r="E37" s="14" t="str">
        <f>IF(E36&gt;10, "Your cost is higher than 10 billion dollars!","")</f>
        <v/>
      </c>
    </row>
    <row r="38" spans="1:15" x14ac:dyDescent="0.25">
      <c r="E38" s="14"/>
    </row>
    <row r="39" spans="1:15" x14ac:dyDescent="0.25">
      <c r="D39" s="4" t="s">
        <v>20</v>
      </c>
      <c r="E39" s="1">
        <f>IF(((SUM(F86:F91)-687.34)*20)-5000 &lt;=0, 0, ((SUM(F86:F91)-687.34)*20)-5000)</f>
        <v>24853.199999999997</v>
      </c>
      <c r="F39" t="s">
        <v>27</v>
      </c>
    </row>
    <row r="40" spans="1:15" x14ac:dyDescent="0.25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</row>
    <row r="41" spans="1:15" ht="46.5" customHeight="1" x14ac:dyDescent="0.25">
      <c r="A41" t="s">
        <v>0</v>
      </c>
      <c r="B41" s="17" t="s">
        <v>2</v>
      </c>
      <c r="C41" s="17" t="s">
        <v>6</v>
      </c>
      <c r="D41" s="17" t="s">
        <v>17</v>
      </c>
      <c r="E41" s="17" t="s">
        <v>7</v>
      </c>
      <c r="F41" s="17" t="s">
        <v>12</v>
      </c>
      <c r="G41" s="17" t="s">
        <v>8</v>
      </c>
      <c r="H41" s="17" t="s">
        <v>9</v>
      </c>
      <c r="I41" s="17" t="s">
        <v>10</v>
      </c>
    </row>
    <row r="42" spans="1:15" x14ac:dyDescent="0.25">
      <c r="A42" s="10" t="s">
        <v>30</v>
      </c>
    </row>
    <row r="43" spans="1:15" x14ac:dyDescent="0.25">
      <c r="A43" t="s">
        <v>5</v>
      </c>
    </row>
    <row r="45" spans="1:15" x14ac:dyDescent="0.25">
      <c r="A45">
        <f>C7/100</f>
        <v>0</v>
      </c>
      <c r="B45">
        <f>IF(A45=0,0,-867.13*A45^2+1550.8*A45+39.93)</f>
        <v>0</v>
      </c>
      <c r="C45">
        <f>IF(A45=0,0,68.881*(A45)^2+0.8462*(A45)+0.1958)</f>
        <v>0</v>
      </c>
      <c r="D45">
        <v>20</v>
      </c>
      <c r="E45">
        <f>(C45/100)*D45</f>
        <v>0</v>
      </c>
      <c r="F45" s="7">
        <f>$E$4</f>
        <v>3</v>
      </c>
      <c r="G45">
        <f>E45*F45</f>
        <v>0</v>
      </c>
      <c r="H45">
        <v>0</v>
      </c>
      <c r="I45">
        <f>G45+H45</f>
        <v>0</v>
      </c>
    </row>
    <row r="46" spans="1:15" x14ac:dyDescent="0.25">
      <c r="A46" t="s">
        <v>1</v>
      </c>
    </row>
    <row r="47" spans="1:15" x14ac:dyDescent="0.25">
      <c r="A47">
        <f>C9/100</f>
        <v>0</v>
      </c>
      <c r="C47">
        <f>IF(A47=0,0,18.531*(A47)^2+1.8322*(A47)+0.007)</f>
        <v>0</v>
      </c>
      <c r="E47">
        <f>C47/5</f>
        <v>0</v>
      </c>
      <c r="F47" s="7">
        <f>$E$4</f>
        <v>3</v>
      </c>
      <c r="G47">
        <f>E47*F47</f>
        <v>0</v>
      </c>
      <c r="H47">
        <f>20*A47</f>
        <v>0</v>
      </c>
      <c r="I47">
        <f>G47+H47</f>
        <v>0</v>
      </c>
    </row>
    <row r="48" spans="1:15" x14ac:dyDescent="0.25">
      <c r="A48" t="s">
        <v>57</v>
      </c>
      <c r="C48">
        <f>100-((100-C45)*(1-C47/100))</f>
        <v>0</v>
      </c>
    </row>
    <row r="49" spans="1:9" x14ac:dyDescent="0.25">
      <c r="A49" s="10" t="s">
        <v>31</v>
      </c>
    </row>
    <row r="50" spans="1:9" x14ac:dyDescent="0.25">
      <c r="A50" t="s">
        <v>5</v>
      </c>
    </row>
    <row r="52" spans="1:9" x14ac:dyDescent="0.25">
      <c r="A52">
        <f>C12/100</f>
        <v>0</v>
      </c>
      <c r="B52">
        <f>IF(A52=0,0,-867.13*A52^2+1550.8*A52+39.93)</f>
        <v>0</v>
      </c>
      <c r="C52">
        <f>IF(A52=0,0,68.881*(A52)^2+0.8462*(A52)+0.1958)</f>
        <v>0</v>
      </c>
      <c r="D52">
        <v>20</v>
      </c>
      <c r="E52">
        <f>(C52/100)*D52</f>
        <v>0</v>
      </c>
      <c r="F52" s="7">
        <f>$E$4</f>
        <v>3</v>
      </c>
      <c r="G52">
        <f>E52*F52</f>
        <v>0</v>
      </c>
      <c r="H52">
        <v>0</v>
      </c>
      <c r="I52">
        <f>G52+H52</f>
        <v>0</v>
      </c>
    </row>
    <row r="53" spans="1:9" x14ac:dyDescent="0.25">
      <c r="A53" t="s">
        <v>1</v>
      </c>
    </row>
    <row r="54" spans="1:9" x14ac:dyDescent="0.25">
      <c r="A54">
        <f>C14/100</f>
        <v>0</v>
      </c>
      <c r="C54">
        <f>IF(A54=0,0,18.531*(A54)^2+1.8322*(A54)+0.007)</f>
        <v>0</v>
      </c>
      <c r="E54">
        <f>C54/5</f>
        <v>0</v>
      </c>
      <c r="F54" s="7">
        <f>$E$4</f>
        <v>3</v>
      </c>
      <c r="G54">
        <f>E54*F54</f>
        <v>0</v>
      </c>
      <c r="H54">
        <f>20*A54</f>
        <v>0</v>
      </c>
      <c r="I54">
        <f>G54+H54</f>
        <v>0</v>
      </c>
    </row>
    <row r="55" spans="1:9" x14ac:dyDescent="0.25">
      <c r="C55">
        <f>100-((100-C52)*(1-C54/100))</f>
        <v>0</v>
      </c>
    </row>
    <row r="56" spans="1:9" x14ac:dyDescent="0.25">
      <c r="A56" s="10" t="s">
        <v>32</v>
      </c>
    </row>
    <row r="57" spans="1:9" x14ac:dyDescent="0.25">
      <c r="A57" t="s">
        <v>5</v>
      </c>
    </row>
    <row r="59" spans="1:9" x14ac:dyDescent="0.25">
      <c r="A59">
        <f>C17/100</f>
        <v>0</v>
      </c>
      <c r="B59">
        <f>IF(A59=0,0,-867.13*A59^2+1550.8*A59+39.93)</f>
        <v>0</v>
      </c>
      <c r="C59">
        <f>IF(A59=0,0,68.881*(A59)^2+0.8462*(A59)+0.1958)</f>
        <v>0</v>
      </c>
      <c r="D59">
        <v>20</v>
      </c>
      <c r="E59">
        <f>(C59/100)*D59</f>
        <v>0</v>
      </c>
      <c r="F59" s="7">
        <f>$E$4</f>
        <v>3</v>
      </c>
      <c r="G59">
        <f>E59*F59</f>
        <v>0</v>
      </c>
      <c r="H59">
        <v>0</v>
      </c>
      <c r="I59">
        <f>G59+H59</f>
        <v>0</v>
      </c>
    </row>
    <row r="60" spans="1:9" x14ac:dyDescent="0.25">
      <c r="A60" t="s">
        <v>1</v>
      </c>
    </row>
    <row r="61" spans="1:9" x14ac:dyDescent="0.25">
      <c r="A61">
        <f>C19/100</f>
        <v>0</v>
      </c>
      <c r="C61">
        <f>IF(A61=0,0,18.531*(A61)^2+1.8322*(A61)+0.007)</f>
        <v>0</v>
      </c>
      <c r="E61">
        <f>C61/5</f>
        <v>0</v>
      </c>
      <c r="F61" s="7">
        <f>$E$4</f>
        <v>3</v>
      </c>
      <c r="G61">
        <f>E61*F61</f>
        <v>0</v>
      </c>
      <c r="H61">
        <f>20*A61</f>
        <v>0</v>
      </c>
      <c r="I61">
        <f>G61+H61</f>
        <v>0</v>
      </c>
    </row>
    <row r="62" spans="1:9" x14ac:dyDescent="0.25">
      <c r="C62">
        <f>100-((100-C59)*(1-C61/100))</f>
        <v>0</v>
      </c>
      <c r="F62" s="7"/>
    </row>
    <row r="63" spans="1:9" x14ac:dyDescent="0.25">
      <c r="A63" s="10" t="s">
        <v>35</v>
      </c>
    </row>
    <row r="64" spans="1:9" x14ac:dyDescent="0.25">
      <c r="A64" t="s">
        <v>5</v>
      </c>
    </row>
    <row r="66" spans="1:9" x14ac:dyDescent="0.25">
      <c r="A66">
        <f>C22/100</f>
        <v>0</v>
      </c>
      <c r="B66">
        <f>IF(A66=0,0,-867.13*A66^2+1550.8*A66+39.93)</f>
        <v>0</v>
      </c>
      <c r="C66">
        <f>IF(A66=0,0,68.881*(A66)^2+0.8462*(A66)+0.1958)</f>
        <v>0</v>
      </c>
      <c r="D66">
        <v>20</v>
      </c>
      <c r="E66">
        <f>(C66/100)*D66</f>
        <v>0</v>
      </c>
      <c r="F66" s="7">
        <f>$E$4</f>
        <v>3</v>
      </c>
      <c r="G66">
        <f>E66*F66</f>
        <v>0</v>
      </c>
      <c r="H66">
        <v>0</v>
      </c>
      <c r="I66">
        <f>G66+H66</f>
        <v>0</v>
      </c>
    </row>
    <row r="67" spans="1:9" x14ac:dyDescent="0.25">
      <c r="A67" t="s">
        <v>1</v>
      </c>
    </row>
    <row r="68" spans="1:9" x14ac:dyDescent="0.25">
      <c r="A68">
        <f>C24/100</f>
        <v>0</v>
      </c>
      <c r="C68">
        <f>IF(A68=0,0,18.531*(A68)^2+1.8322*(A68)+0.007)</f>
        <v>0</v>
      </c>
      <c r="E68">
        <f>C68/5</f>
        <v>0</v>
      </c>
      <c r="F68" s="7">
        <f>$E$4</f>
        <v>3</v>
      </c>
      <c r="G68">
        <f>E68*F68</f>
        <v>0</v>
      </c>
      <c r="H68">
        <f>20*A68</f>
        <v>0</v>
      </c>
      <c r="I68">
        <f>G68+H68</f>
        <v>0</v>
      </c>
    </row>
    <row r="69" spans="1:9" x14ac:dyDescent="0.25">
      <c r="C69">
        <f>100-((100-C66)*(1-C68/100))</f>
        <v>0</v>
      </c>
      <c r="F69" s="7"/>
    </row>
    <row r="70" spans="1:9" x14ac:dyDescent="0.25">
      <c r="A70" s="10" t="s">
        <v>33</v>
      </c>
    </row>
    <row r="71" spans="1:9" x14ac:dyDescent="0.25">
      <c r="A71" t="s">
        <v>5</v>
      </c>
    </row>
    <row r="73" spans="1:9" x14ac:dyDescent="0.25">
      <c r="A73">
        <f>C27/100</f>
        <v>0</v>
      </c>
      <c r="B73">
        <f>IF(A73=0,0,-867.13*A73^2+1550.8*A73+39.93)</f>
        <v>0</v>
      </c>
      <c r="C73">
        <f>IF(A73=0,0,68.881*(A73)^2+0.8462*(A73)+0.1958)</f>
        <v>0</v>
      </c>
      <c r="D73">
        <v>20</v>
      </c>
      <c r="E73">
        <f>(C73/100)*D73</f>
        <v>0</v>
      </c>
      <c r="F73" s="7">
        <f>$E$4</f>
        <v>3</v>
      </c>
      <c r="G73">
        <f>E73*F73</f>
        <v>0</v>
      </c>
      <c r="H73">
        <v>0</v>
      </c>
      <c r="I73">
        <f>G73+H73</f>
        <v>0</v>
      </c>
    </row>
    <row r="74" spans="1:9" x14ac:dyDescent="0.25">
      <c r="A74" t="s">
        <v>1</v>
      </c>
    </row>
    <row r="75" spans="1:9" x14ac:dyDescent="0.25">
      <c r="A75">
        <f>C29/100</f>
        <v>0</v>
      </c>
      <c r="C75">
        <f>IF(A75=0,0,18.531*(A75)^2+1.8322*(A75)+0.007)</f>
        <v>0</v>
      </c>
      <c r="E75">
        <f>C75/5</f>
        <v>0</v>
      </c>
      <c r="F75" s="7">
        <f>$E$4</f>
        <v>3</v>
      </c>
      <c r="G75">
        <f>E75*F75</f>
        <v>0</v>
      </c>
      <c r="H75">
        <f>20*A75</f>
        <v>0</v>
      </c>
      <c r="I75">
        <f>G75+H75</f>
        <v>0</v>
      </c>
    </row>
    <row r="76" spans="1:9" x14ac:dyDescent="0.25">
      <c r="C76">
        <f>100-((100-C73)*(1-C75/100))</f>
        <v>0</v>
      </c>
      <c r="F76" s="7"/>
    </row>
    <row r="77" spans="1:9" x14ac:dyDescent="0.25">
      <c r="A77" s="10" t="s">
        <v>34</v>
      </c>
    </row>
    <row r="78" spans="1:9" x14ac:dyDescent="0.25">
      <c r="A78" t="s">
        <v>5</v>
      </c>
    </row>
    <row r="80" spans="1:9" x14ac:dyDescent="0.25">
      <c r="A80">
        <f>C32/100</f>
        <v>0</v>
      </c>
      <c r="B80">
        <f>IF(A80=0,0,-867.13*A80^2+1550.8*A80+39.93)</f>
        <v>0</v>
      </c>
      <c r="C80">
        <f>IF(A80=0,0,68.881*(A80)^2+0.8462*(A80)+0.1958)</f>
        <v>0</v>
      </c>
      <c r="D80">
        <v>20</v>
      </c>
      <c r="E80">
        <f>(C80/100)*D80</f>
        <v>0</v>
      </c>
      <c r="F80" s="7">
        <f>$E$4</f>
        <v>3</v>
      </c>
      <c r="G80">
        <f>E80*F80</f>
        <v>0</v>
      </c>
      <c r="H80">
        <v>0</v>
      </c>
      <c r="I80">
        <f>G80+H80</f>
        <v>0</v>
      </c>
    </row>
    <row r="81" spans="1:12" x14ac:dyDescent="0.25">
      <c r="A81" t="s">
        <v>1</v>
      </c>
    </row>
    <row r="82" spans="1:12" x14ac:dyDescent="0.25">
      <c r="A82">
        <f>C34/100</f>
        <v>0</v>
      </c>
      <c r="C82">
        <f>IF(A82=0,0,18.531*(A82)^2+1.8322*(A82)+0.007)</f>
        <v>0</v>
      </c>
      <c r="E82">
        <f>C82/5</f>
        <v>0</v>
      </c>
      <c r="F82" s="7">
        <f>$E$4</f>
        <v>3</v>
      </c>
      <c r="G82">
        <f>E82*F82</f>
        <v>0</v>
      </c>
      <c r="H82">
        <f>20*A82</f>
        <v>0</v>
      </c>
      <c r="I82">
        <f>G82+H82</f>
        <v>0</v>
      </c>
    </row>
    <row r="83" spans="1:12" x14ac:dyDescent="0.25">
      <c r="C83">
        <f>100-((100-C80)*(1-C82/100))</f>
        <v>0</v>
      </c>
    </row>
    <row r="84" spans="1:12" x14ac:dyDescent="0.25">
      <c r="A84" s="21" t="s">
        <v>58</v>
      </c>
      <c r="C84" s="21">
        <f>(C86/C92)*C48+(C87/C92)*C55+(C88/C92)*C62+(C89/C92)*C69+(C90/C92)*C76+(C91/C92)*C83</f>
        <v>0</v>
      </c>
    </row>
    <row r="85" spans="1:12" ht="45" x14ac:dyDescent="0.25">
      <c r="A85" s="2" t="s">
        <v>36</v>
      </c>
      <c r="B85" s="18" t="s">
        <v>37</v>
      </c>
      <c r="C85" s="18" t="s">
        <v>38</v>
      </c>
      <c r="D85" s="18" t="s">
        <v>39</v>
      </c>
      <c r="E85" s="18" t="s">
        <v>40</v>
      </c>
      <c r="F85" s="18" t="s">
        <v>41</v>
      </c>
      <c r="G85" s="18"/>
      <c r="H85" s="18"/>
      <c r="I85" s="2"/>
      <c r="J85" s="2"/>
      <c r="K85" s="2"/>
      <c r="L85" s="2"/>
    </row>
    <row r="86" spans="1:12" x14ac:dyDescent="0.25">
      <c r="A86" s="9" t="s">
        <v>30</v>
      </c>
      <c r="B86">
        <v>200</v>
      </c>
      <c r="C86">
        <v>50</v>
      </c>
      <c r="D86">
        <f t="shared" ref="D86:D91" si="0">($D$92/$C$92)*C86</f>
        <v>109.00000000000001</v>
      </c>
      <c r="E86">
        <v>3</v>
      </c>
      <c r="F86" s="8">
        <f>((1 -A47) * ((1 - A45) * D86)) * E86</f>
        <v>327.00000000000006</v>
      </c>
    </row>
    <row r="87" spans="1:12" x14ac:dyDescent="0.25">
      <c r="A87" s="9" t="s">
        <v>31</v>
      </c>
      <c r="B87">
        <v>500</v>
      </c>
      <c r="C87">
        <v>120</v>
      </c>
      <c r="D87">
        <f t="shared" si="0"/>
        <v>261.60000000000002</v>
      </c>
      <c r="E87">
        <v>2</v>
      </c>
      <c r="F87" s="8">
        <f>((1 -A54) * ((1 - A52) * D87)) * E87</f>
        <v>523.20000000000005</v>
      </c>
    </row>
    <row r="88" spans="1:12" x14ac:dyDescent="0.25">
      <c r="A88" s="9" t="s">
        <v>32</v>
      </c>
      <c r="B88">
        <v>500</v>
      </c>
      <c r="C88">
        <v>120</v>
      </c>
      <c r="D88">
        <f t="shared" si="0"/>
        <v>261.60000000000002</v>
      </c>
      <c r="E88">
        <v>1</v>
      </c>
      <c r="F88" s="8">
        <f>((1 -A61) * ((1 - A59) * D88)) * E88</f>
        <v>261.60000000000002</v>
      </c>
    </row>
    <row r="89" spans="1:12" x14ac:dyDescent="0.25">
      <c r="A89" s="9" t="s">
        <v>35</v>
      </c>
      <c r="B89">
        <v>100</v>
      </c>
      <c r="C89">
        <v>10</v>
      </c>
      <c r="D89">
        <f t="shared" si="0"/>
        <v>21.8</v>
      </c>
      <c r="E89">
        <v>1</v>
      </c>
      <c r="F89" s="8">
        <f>((1 -A68) * ((1 - A66) * D89)) * E89</f>
        <v>21.8</v>
      </c>
    </row>
    <row r="90" spans="1:12" x14ac:dyDescent="0.25">
      <c r="A90" s="9" t="s">
        <v>42</v>
      </c>
      <c r="B90">
        <v>500</v>
      </c>
      <c r="C90">
        <v>300</v>
      </c>
      <c r="D90">
        <f t="shared" si="0"/>
        <v>654</v>
      </c>
      <c r="E90">
        <v>1</v>
      </c>
      <c r="F90" s="8">
        <f>((1 -A75) * ((1 - A73) * D90)) * E90</f>
        <v>654</v>
      </c>
    </row>
    <row r="91" spans="1:12" x14ac:dyDescent="0.25">
      <c r="A91" s="9" t="s">
        <v>34</v>
      </c>
      <c r="B91">
        <v>1200</v>
      </c>
      <c r="C91">
        <v>400</v>
      </c>
      <c r="D91">
        <f t="shared" si="0"/>
        <v>872.00000000000011</v>
      </c>
      <c r="E91">
        <v>0.45</v>
      </c>
      <c r="F91" s="8">
        <f>((1 -A82) * ((1 - A80) * D91)) * E91</f>
        <v>392.40000000000003</v>
      </c>
    </row>
    <row r="92" spans="1:12" x14ac:dyDescent="0.25">
      <c r="A92" t="s">
        <v>43</v>
      </c>
      <c r="B92">
        <f>SUM(B86:B91)</f>
        <v>3000</v>
      </c>
      <c r="C92">
        <f>SUM(C86:C91)</f>
        <v>1000</v>
      </c>
      <c r="D92">
        <f>E1</f>
        <v>2180</v>
      </c>
      <c r="F92">
        <f>SUM(F86:F91)</f>
        <v>2180</v>
      </c>
    </row>
    <row r="94" spans="1:12" x14ac:dyDescent="0.25">
      <c r="D94">
        <f>SUM(D86:D91)</f>
        <v>2180</v>
      </c>
    </row>
  </sheetData>
  <conditionalFormatting sqref="E36">
    <cfRule type="cellIs" dxfId="0" priority="1" operator="greaterThan">
      <formula>10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mbrain_sep">
          <controlPr defaultSize="0" autoLine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1962150</xdr:colOff>
                <xdr:row>1</xdr:row>
                <xdr:rowOff>47625</xdr:rowOff>
              </to>
            </anchor>
          </controlPr>
        </control>
      </mc:Choice>
      <mc:Fallback>
        <control shapeId="7169" r:id="rId3" name="cmbrain_sep"/>
      </mc:Fallback>
    </mc:AlternateContent>
    <mc:AlternateContent xmlns:mc="http://schemas.openxmlformats.org/markup-compatibility/2006">
      <mc:Choice Requires="x14">
        <control shapeId="7170" r:id="rId5" name="cmbprice_sep">
          <controlPr defaultSize="0" autoLine="0" r:id="rId6">
            <anchor moveWithCells="1">
              <from>
                <xdr:col>0</xdr:col>
                <xdr:colOff>9525</xdr:colOff>
                <xdr:row>2</xdr:row>
                <xdr:rowOff>161925</xdr:rowOff>
              </from>
              <to>
                <xdr:col>0</xdr:col>
                <xdr:colOff>1914525</xdr:colOff>
                <xdr:row>4</xdr:row>
                <xdr:rowOff>9525</xdr:rowOff>
              </to>
            </anchor>
          </controlPr>
        </control>
      </mc:Choice>
      <mc:Fallback>
        <control shapeId="7170" r:id="rId5" name="cmbprice_sep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6"/>
  <sheetViews>
    <sheetView tabSelected="1" workbookViewId="0">
      <selection activeCell="C2" sqref="C2"/>
    </sheetView>
  </sheetViews>
  <sheetFormatPr defaultRowHeight="15" x14ac:dyDescent="0.25"/>
  <cols>
    <col min="2" max="2" width="12.28515625" bestFit="1" customWidth="1"/>
    <col min="3" max="3" width="17.28515625" bestFit="1" customWidth="1"/>
  </cols>
  <sheetData>
    <row r="1" spans="1:3" x14ac:dyDescent="0.25">
      <c r="A1" t="s">
        <v>16</v>
      </c>
      <c r="B1" t="s">
        <v>59</v>
      </c>
      <c r="C1" t="s">
        <v>60</v>
      </c>
    </row>
    <row r="2" spans="1:3" x14ac:dyDescent="0.25">
      <c r="A2">
        <v>1985</v>
      </c>
      <c r="B2">
        <v>3700</v>
      </c>
      <c r="C2">
        <f>B2*2.58998811</f>
        <v>9582.9560070000007</v>
      </c>
    </row>
    <row r="3" spans="1:3" x14ac:dyDescent="0.25">
      <c r="A3">
        <v>1986</v>
      </c>
      <c r="B3">
        <v>3600</v>
      </c>
      <c r="C3">
        <f t="shared" ref="C3:C26" si="0">B3*2.58998811</f>
        <v>9323.9571960000012</v>
      </c>
    </row>
    <row r="4" spans="1:3" x14ac:dyDescent="0.25">
      <c r="A4">
        <v>1987</v>
      </c>
      <c r="B4">
        <v>2500</v>
      </c>
      <c r="C4">
        <f t="shared" si="0"/>
        <v>6474.9702750000006</v>
      </c>
    </row>
    <row r="5" spans="1:3" x14ac:dyDescent="0.25">
      <c r="A5">
        <v>1988</v>
      </c>
      <c r="C5">
        <f t="shared" si="0"/>
        <v>0</v>
      </c>
    </row>
    <row r="6" spans="1:3" x14ac:dyDescent="0.25">
      <c r="A6">
        <v>1989</v>
      </c>
      <c r="C6">
        <f t="shared" si="0"/>
        <v>0</v>
      </c>
    </row>
    <row r="7" spans="1:3" x14ac:dyDescent="0.25">
      <c r="A7">
        <v>1990</v>
      </c>
      <c r="B7">
        <v>3500</v>
      </c>
      <c r="C7">
        <f t="shared" si="0"/>
        <v>9064.9583849999999</v>
      </c>
    </row>
    <row r="8" spans="1:3" x14ac:dyDescent="0.25">
      <c r="A8">
        <v>1991</v>
      </c>
      <c r="B8">
        <v>4500</v>
      </c>
      <c r="C8">
        <f t="shared" si="0"/>
        <v>11654.946495</v>
      </c>
    </row>
    <row r="9" spans="1:3" x14ac:dyDescent="0.25">
      <c r="A9">
        <v>1992</v>
      </c>
      <c r="B9">
        <v>4100</v>
      </c>
      <c r="C9">
        <f t="shared" si="0"/>
        <v>10618.951251</v>
      </c>
    </row>
    <row r="10" spans="1:3" x14ac:dyDescent="0.25">
      <c r="A10">
        <v>1993</v>
      </c>
      <c r="B10">
        <v>6700</v>
      </c>
      <c r="C10">
        <f t="shared" si="0"/>
        <v>17352.920337</v>
      </c>
    </row>
    <row r="11" spans="1:3" x14ac:dyDescent="0.25">
      <c r="A11">
        <v>1994</v>
      </c>
      <c r="B11">
        <v>6300</v>
      </c>
      <c r="C11">
        <f t="shared" si="0"/>
        <v>16316.925093000002</v>
      </c>
    </row>
    <row r="12" spans="1:3" x14ac:dyDescent="0.25">
      <c r="A12">
        <v>1995</v>
      </c>
      <c r="B12">
        <v>6900</v>
      </c>
      <c r="C12">
        <f t="shared" si="0"/>
        <v>17870.917959000002</v>
      </c>
    </row>
    <row r="13" spans="1:3" x14ac:dyDescent="0.25">
      <c r="A13">
        <v>1996</v>
      </c>
      <c r="B13">
        <v>6800</v>
      </c>
      <c r="C13">
        <f t="shared" si="0"/>
        <v>17611.919148000001</v>
      </c>
    </row>
    <row r="14" spans="1:3" x14ac:dyDescent="0.25">
      <c r="A14">
        <v>1997</v>
      </c>
      <c r="B14">
        <v>6000</v>
      </c>
      <c r="C14">
        <f t="shared" si="0"/>
        <v>15539.928660000001</v>
      </c>
    </row>
    <row r="15" spans="1:3" x14ac:dyDescent="0.25">
      <c r="A15">
        <v>1998</v>
      </c>
      <c r="B15">
        <v>4700</v>
      </c>
      <c r="C15">
        <f t="shared" si="0"/>
        <v>12172.944117000001</v>
      </c>
    </row>
    <row r="16" spans="1:3" x14ac:dyDescent="0.25">
      <c r="A16">
        <v>1999</v>
      </c>
      <c r="B16">
        <v>7600</v>
      </c>
      <c r="C16">
        <f t="shared" si="0"/>
        <v>19683.909636</v>
      </c>
    </row>
    <row r="17" spans="1:3" x14ac:dyDescent="0.25">
      <c r="A17">
        <v>2000</v>
      </c>
      <c r="B17">
        <v>1600</v>
      </c>
      <c r="C17">
        <f t="shared" si="0"/>
        <v>4143.9809760000007</v>
      </c>
    </row>
    <row r="18" spans="1:3" x14ac:dyDescent="0.25">
      <c r="A18">
        <v>2001</v>
      </c>
      <c r="B18">
        <v>7900</v>
      </c>
      <c r="C18">
        <f t="shared" si="0"/>
        <v>20460.906069000001</v>
      </c>
    </row>
    <row r="19" spans="1:3" x14ac:dyDescent="0.25">
      <c r="A19">
        <v>2002</v>
      </c>
      <c r="B19">
        <v>8400</v>
      </c>
      <c r="C19">
        <f t="shared" si="0"/>
        <v>21755.900124</v>
      </c>
    </row>
    <row r="20" spans="1:3" x14ac:dyDescent="0.25">
      <c r="A20">
        <v>2003</v>
      </c>
      <c r="B20">
        <v>3200</v>
      </c>
      <c r="C20">
        <f t="shared" si="0"/>
        <v>8287.9619520000015</v>
      </c>
    </row>
    <row r="21" spans="1:3" x14ac:dyDescent="0.25">
      <c r="A21">
        <v>2004</v>
      </c>
      <c r="B21">
        <v>5700</v>
      </c>
      <c r="C21">
        <f t="shared" si="0"/>
        <v>14762.932227000001</v>
      </c>
    </row>
    <row r="22" spans="1:3" x14ac:dyDescent="0.25">
      <c r="A22">
        <v>2005</v>
      </c>
      <c r="B22">
        <v>4500</v>
      </c>
      <c r="C22">
        <f t="shared" si="0"/>
        <v>11654.946495</v>
      </c>
    </row>
    <row r="23" spans="1:3" x14ac:dyDescent="0.25">
      <c r="A23">
        <v>2006</v>
      </c>
      <c r="B23">
        <v>6600</v>
      </c>
      <c r="C23">
        <f t="shared" si="0"/>
        <v>17093.921526000002</v>
      </c>
    </row>
    <row r="24" spans="1:3" x14ac:dyDescent="0.25">
      <c r="A24">
        <v>2007</v>
      </c>
      <c r="B24">
        <v>7800</v>
      </c>
      <c r="C24">
        <f t="shared" si="0"/>
        <v>20201.907258000003</v>
      </c>
    </row>
    <row r="25" spans="1:3" x14ac:dyDescent="0.25">
      <c r="A25">
        <v>2008</v>
      </c>
      <c r="B25">
        <v>7900</v>
      </c>
      <c r="C25">
        <f t="shared" si="0"/>
        <v>20460.906069000001</v>
      </c>
    </row>
    <row r="26" spans="1:3" x14ac:dyDescent="0.25">
      <c r="A26">
        <v>2009</v>
      </c>
      <c r="B26">
        <v>3000</v>
      </c>
      <c r="C26">
        <f t="shared" si="0"/>
        <v>7769.9643300000007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functions_nitro_game</vt:lpstr>
      <vt:lpstr>Fitting</vt:lpstr>
      <vt:lpstr>functions_nitro_game_sep</vt:lpstr>
      <vt:lpstr>Past Hypoxic Zones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lant</dc:creator>
  <cp:lastModifiedBy>David Xiong</cp:lastModifiedBy>
  <dcterms:created xsi:type="dcterms:W3CDTF">2011-06-02T19:21:15Z</dcterms:created>
  <dcterms:modified xsi:type="dcterms:W3CDTF">2012-07-11T02:54:48Z</dcterms:modified>
</cp:coreProperties>
</file>